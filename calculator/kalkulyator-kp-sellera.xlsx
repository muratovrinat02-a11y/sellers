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  <sheet xmlns:r="http://schemas.openxmlformats.org/officeDocument/2006/relationships" name="Ввод" sheetId="2" state="visible" r:id="rId2"/>
    <sheet xmlns:r="http://schemas.openxmlformats.org/officeDocument/2006/relationships" name="Расчёт" sheetId="3" state="visible" r:id="rId3"/>
    <sheet xmlns:r="http://schemas.openxmlformats.org/officeDocument/2006/relationships" name="Справка" sheetId="4" state="visible" r:id="rId4"/>
  </sheets>
  <definedNames>
    <definedName name="brand">Ввод!$B$5</definedName>
    <definedName name="niche">Ввод!$B$6</definedName>
    <definedName name="mp_rev">Ввод!$B$7</definedName>
    <definedName name="mp_aov">Ввод!$B$8</definedName>
    <definedName name="mp_take">Ввод!$B$9</definedName>
    <definedName name="cogs">Ввод!$B$10</definedName>
    <definedName name="wordstat">Ввод!$B$11</definedName>
    <definedName name="followers">Ввод!$B$12</definedName>
    <definedName name="freq">Ввод!$B$13</definedName>
    <definedName name="stock">Ввод!$B$14</definedName>
    <definedName name="acq">Ввод!$B$33</definedName>
    <definedName name="ship">Ввод!$B$34</definedName>
    <definedName name="pick">Ввод!$B$35</definedName>
    <definedName name="crm_pct">Ввод!$B$36</definedName>
    <definedName name="brand_cost">Ввод!$B$37</definedName>
    <definedName name="platform">Ввод!$B$38</definedName>
    <definedName name="svc_setup">Ввод!$B$41</definedName>
    <definedName name="svc_month">Ввод!$B$42</definedName>
    <definedName name="svc_pct">Ввод!$B$43</definedName>
    <definedName name="conv_base_1">Ввод!$B$19</definedName>
    <definedName name="conv_base_2">Ввод!$C$19</definedName>
    <definedName name="conv_base_3">Ввод!$D$19</definedName>
    <definedName name="base_site_1">Ввод!$B$20</definedName>
    <definedName name="base_site_2">Ввод!$C$20</definedName>
    <definedName name="base_site_3">Ввод!$D$20</definedName>
    <definedName name="brand_share_1">Ввод!$B$21</definedName>
    <definedName name="brand_share_2">Ввод!$C$21</definedName>
    <definedName name="brand_share_3">Ввод!$D$21</definedName>
    <definedName name="brand_cr_1">Ввод!$B$22</definedName>
    <definedName name="brand_cr_2">Ввод!$C$22</definedName>
    <definedName name="brand_cr_3">Ввод!$D$22</definedName>
    <definedName name="social_cr_1">Ввод!$B$23</definedName>
    <definedName name="social_cr_2">Ввод!$C$23</definedName>
    <definedName name="social_cr_3">Ввод!$D$23</definedName>
    <definedName name="ads_budget_1">Ввод!$B$24</definedName>
    <definedName name="ads_budget_2">Ввод!$C$24</definedName>
    <definedName name="ads_budget_3">Ввод!$D$24</definedName>
    <definedName name="cpc_1">Ввод!$B$25</definedName>
    <definedName name="cpc_2">Ввод!$C$25</definedName>
    <definedName name="cpc_3">Ввод!$D$25</definedName>
    <definedName name="ads_cr_1">Ввод!$B$26</definedName>
    <definedName name="ads_cr_2">Ввод!$C$26</definedName>
    <definedName name="ads_cr_3">Ввод!$D$26</definedName>
    <definedName name="aov_k_1">Ввод!$B$27</definedName>
    <definedName name="aov_k_2">Ввод!$C$27</definedName>
    <definedName name="aov_k_3">Ввод!$D$27</definedName>
    <definedName name="incr_1">Ввод!$B$28</definedName>
    <definedName name="incr_2">Ввод!$C$28</definedName>
    <definedName name="incr_3">Ввод!$D$28</definedName>
    <definedName name="churn_1">Ввод!$B$29</definedName>
    <definedName name="churn_2">Ввод!$C$29</definedName>
    <definedName name="churn_3">Ввод!$D$29</definedName>
    <definedName name="ramp_1">Ввод!$B$30</definedName>
    <definedName name="ramp_2">Ввод!$C$30</definedName>
    <definedName name="ramp_3">Ввод!$D$30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"/>
    <numFmt numFmtId="166" formatCode="0.0%"/>
    <numFmt numFmtId="167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b val="1"/>
      <sz val="13"/>
    </font>
    <font>
      <name val="Arial"/>
      <b val="1"/>
      <sz val="15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9" fillId="2" borderId="0" pivotButton="0" quotePrefix="0" xfId="0"/>
    <xf numFmtId="0" fontId="4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0" fontId="6" fillId="5" borderId="0" pivotButton="0" quotePrefix="0" xfId="0"/>
    <xf numFmtId="164" fontId="6" fillId="5" borderId="0" applyAlignment="1" pivotButton="0" quotePrefix="0" xfId="0">
      <alignment horizontal="right"/>
    </xf>
    <xf numFmtId="166" fontId="6" fillId="5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9" fontId="4" fillId="0" borderId="0" applyAlignment="1" pivotButton="0" quotePrefix="0" xfId="0">
      <alignment horizontal="right"/>
    </xf>
    <xf numFmtId="1" fontId="6" fillId="5" borderId="0" applyAlignment="1" pivotButton="0" quotePrefix="0" xfId="0">
      <alignment horizontal="right"/>
    </xf>
    <xf numFmtId="0" fontId="1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9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" fontId="5" fillId="3" borderId="1" pivotButton="0" quotePrefix="0" xfId="0"/>
    <xf numFmtId="0" fontId="7" fillId="0" borderId="0" pivotButton="0" quotePrefix="0" xfId="0"/>
    <xf numFmtId="0" fontId="4" fillId="4" borderId="0" pivotButton="0" quotePrefix="0" xfId="0"/>
    <xf numFmtId="1" fontId="6" fillId="4" borderId="0" applyAlignment="1" pivotButton="0" quotePrefix="0" xfId="0">
      <alignment horizontal="center"/>
    </xf>
    <xf numFmtId="9" fontId="4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>
        <f>"Свой интернет-магазин для "&amp;Ввод!$B$5</f>
        <v/>
      </c>
      <c r="B1" s="2" t="n"/>
      <c r="C1" s="2" t="n"/>
      <c r="D1" s="2" t="n"/>
    </row>
    <row r="2">
      <c r="A2" s="3">
        <f>"Расчёт на ваших цифрах. Ниша: "&amp;Ввод!$B$6</f>
        <v/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Сколько вы сейчас отдаёте маркетплейсам</t>
        </is>
      </c>
      <c r="B4" s="5" t="n"/>
      <c r="C4" s="5" t="n"/>
      <c r="D4" s="5" t="n"/>
    </row>
    <row r="5">
      <c r="A5" s="6" t="inlineStr">
        <is>
          <t>Оборот на маркетплейсах, ₽/мес</t>
        </is>
      </c>
      <c r="B5" s="7">
        <f>mp_rev</f>
        <v/>
      </c>
      <c r="C5" s="2" t="n"/>
      <c r="D5" s="2" t="n"/>
    </row>
    <row r="6">
      <c r="A6" s="6" t="inlineStr">
        <is>
          <t>Удерживает маркетплейс, ₽/мес</t>
        </is>
      </c>
      <c r="B6" s="7">
        <f>mp_rev*mp_take</f>
        <v/>
      </c>
      <c r="C6" s="2" t="n"/>
      <c r="D6" s="2" t="n"/>
    </row>
    <row r="7">
      <c r="A7" s="6" t="inlineStr">
        <is>
          <t>Удерживает маркетплейс, ₽/год</t>
        </is>
      </c>
      <c r="B7" s="7">
        <f>mp_rev*mp_take*12</f>
        <v/>
      </c>
      <c r="C7" s="2" t="n"/>
      <c r="D7" s="2" t="n"/>
    </row>
    <row r="8">
      <c r="A8" s="6" t="inlineStr">
        <is>
          <t>Товар на складах маркетплейсов, ₽</t>
        </is>
      </c>
      <c r="B8" s="7">
        <f>stock</f>
        <v/>
      </c>
      <c r="C8" s="2" t="n"/>
      <c r="D8" s="2" t="n"/>
    </row>
    <row r="9">
      <c r="A9" s="6" t="inlineStr">
        <is>
          <t>Ваш бренд ищут в Яндексе, раз в мес</t>
        </is>
      </c>
      <c r="B9" s="8">
        <f>wordstat</f>
        <v/>
      </c>
      <c r="C9" s="2" t="n"/>
      <c r="D9" s="2" t="n"/>
    </row>
    <row r="10">
      <c r="A10" s="2" t="n"/>
      <c r="B10" s="2" t="n"/>
      <c r="C10" s="2" t="n"/>
      <c r="D10" s="2" t="n"/>
    </row>
    <row r="11">
      <c r="A11" s="4" t="inlineStr">
        <is>
          <t>Что даст свой магазин</t>
        </is>
      </c>
      <c r="B11" s="5" t="n"/>
      <c r="C11" s="5" t="n"/>
      <c r="D11" s="5" t="n"/>
    </row>
    <row r="12">
      <c r="A12" s="9" t="inlineStr">
        <is>
          <t>Показатель</t>
        </is>
      </c>
      <c r="B12" s="10" t="inlineStr">
        <is>
          <t>Осторожный</t>
        </is>
      </c>
      <c r="C12" s="10" t="inlineStr">
        <is>
          <t>Базовый</t>
        </is>
      </c>
      <c r="D12" s="10" t="inlineStr">
        <is>
          <t>Сильный</t>
        </is>
      </c>
    </row>
    <row r="13">
      <c r="A13" s="6" t="inlineStr">
        <is>
          <t>Выручка сайта на 12-й месяц, ₽/мес</t>
        </is>
      </c>
      <c r="B13" s="11">
        <f>Расчёт!M16</f>
        <v/>
      </c>
      <c r="C13" s="11">
        <f>Расчёт!M41</f>
        <v/>
      </c>
      <c r="D13" s="11">
        <f>Расчёт!M66</f>
        <v/>
      </c>
    </row>
    <row r="14">
      <c r="A14" s="12" t="inlineStr">
        <is>
          <t>Выручка сайта на 24-й месяц, ₽/мес</t>
        </is>
      </c>
      <c r="B14" s="13">
        <f>Расчёт!Y16</f>
        <v/>
      </c>
      <c r="C14" s="13">
        <f>Расчёт!Y41</f>
        <v/>
      </c>
      <c r="D14" s="13">
        <f>Расчёт!Y66</f>
        <v/>
      </c>
    </row>
    <row r="15">
      <c r="A15" s="12" t="inlineStr">
        <is>
          <t>Доля сайта в обороте на 24-й месяц</t>
        </is>
      </c>
      <c r="B15" s="14">
        <f>Расчёт!Y19</f>
        <v/>
      </c>
      <c r="C15" s="14">
        <f>Расчёт!Y44</f>
        <v/>
      </c>
      <c r="D15" s="14">
        <f>Расчёт!Y69</f>
        <v/>
      </c>
    </row>
    <row r="16">
      <c r="A16" s="6" t="inlineStr">
        <is>
          <t>Прирост общего оборота на 24-й месяц</t>
        </is>
      </c>
      <c r="B16" s="15">
        <f>Расчёт!Y17/mp_rev</f>
        <v/>
      </c>
      <c r="C16" s="15">
        <f>Расчёт!Y42/mp_rev</f>
        <v/>
      </c>
      <c r="D16" s="15">
        <f>Расчёт!Y67/mp_rev</f>
        <v/>
      </c>
    </row>
    <row r="17">
      <c r="A17" s="6" t="inlineStr">
        <is>
          <t>Выручка сайта за 2-й год, ₽</t>
        </is>
      </c>
      <c r="B17" s="11">
        <f>SUM(Расчёт!N16:Y16)</f>
        <v/>
      </c>
      <c r="C17" s="11">
        <f>SUM(Расчёт!N41:Y41)</f>
        <v/>
      </c>
      <c r="D17" s="11">
        <f>SUM(Расчёт!N66:Y66)</f>
        <v/>
      </c>
    </row>
    <row r="18">
      <c r="A18" s="6" t="inlineStr">
        <is>
          <t>Покупателей в своей базе через 24 мес</t>
        </is>
      </c>
      <c r="B18" s="16">
        <f>Расчёт!Y9</f>
        <v/>
      </c>
      <c r="C18" s="16">
        <f>Расчёт!Y34</f>
        <v/>
      </c>
      <c r="D18" s="16">
        <f>Расчёт!Y59</f>
        <v/>
      </c>
    </row>
    <row r="19">
      <c r="A19" s="6" t="inlineStr">
        <is>
          <t>Расходы сайта на 24-й месяц, % выручки</t>
        </is>
      </c>
      <c r="B19" s="17">
        <f>Расчёт!Y21</f>
        <v/>
      </c>
      <c r="C19" s="17">
        <f>Расчёт!Y46</f>
        <v/>
      </c>
      <c r="D19" s="17">
        <f>Расчёт!Y71</f>
        <v/>
      </c>
    </row>
    <row r="20">
      <c r="A20" s="6" t="inlineStr">
        <is>
          <t>Чистый эффект за 1-й год, ₽</t>
        </is>
      </c>
      <c r="B20" s="11">
        <f>SUM(Расчёт!B25:M25)</f>
        <v/>
      </c>
      <c r="C20" s="11">
        <f>SUM(Расчёт!B50:M50)</f>
        <v/>
      </c>
      <c r="D20" s="11">
        <f>SUM(Расчёт!B75:M75)</f>
        <v/>
      </c>
    </row>
    <row r="21">
      <c r="A21" s="12" t="inlineStr">
        <is>
          <t>Чистый эффект за 2-й год, ₽</t>
        </is>
      </c>
      <c r="B21" s="13">
        <f>SUM(Расчёт!N25:Y25)</f>
        <v/>
      </c>
      <c r="C21" s="13">
        <f>SUM(Расчёт!N50:Y50)</f>
        <v/>
      </c>
      <c r="D21" s="13">
        <f>SUM(Расчёт!N75:Y75)</f>
        <v/>
      </c>
    </row>
    <row r="22">
      <c r="A22" s="12" t="inlineStr">
        <is>
          <t>Окупаемость вложений, мес</t>
        </is>
      </c>
      <c r="B22" s="18">
        <f>IFERROR(MATCH(1,Расчёт!B27:Y27,0),"больше 24")</f>
        <v/>
      </c>
      <c r="C22" s="18">
        <f>IFERROR(MATCH(1,Расчёт!B52:Y52,0),"больше 24")</f>
        <v/>
      </c>
      <c r="D22" s="18">
        <f>IFERROR(MATCH(1,Расчёт!B77:Y77,0),"больше 24")</f>
        <v/>
      </c>
    </row>
    <row r="23">
      <c r="A23" s="2" t="n"/>
      <c r="B23" s="2" t="n"/>
      <c r="C23" s="2" t="n"/>
      <c r="D23" s="2" t="n"/>
    </row>
    <row r="24">
      <c r="A24" s="3" t="inlineStr">
        <is>
          <t>Чистый эффект = маржа сайта после себестоимости, всех расходов и наших услуг минус маржа, которую перешедшие с МП заказы и так дали бы на маркетплейсе.</t>
        </is>
      </c>
      <c r="B24" s="2" t="n"/>
      <c r="C24" s="2" t="n"/>
      <c r="D24" s="2" t="n"/>
    </row>
    <row r="25">
      <c r="A25" s="3" t="inlineStr">
        <is>
          <t>Источники рыночных цифр — лист «Справка». Допущения сценариев — лист «Ввод», раздел 2.</t>
        </is>
      </c>
      <c r="B25" s="2" t="n"/>
      <c r="C25" s="2" t="n"/>
      <c r="D25" s="2" t="n"/>
    </row>
    <row r="26">
      <c r="A26" s="3" t="inlineStr">
        <is>
          <t>Маркетплейсы остаются главным каналом: сайт — второй канал со своей базой покупателей и страховка от изменения условий и потерь на складах.</t>
        </is>
      </c>
      <c r="B26" s="2" t="n"/>
      <c r="C26" s="2" t="n"/>
      <c r="D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9" t="inlineStr">
        <is>
          <t>Калькулятор КП: свой интернет-магазин для селлера</t>
        </is>
      </c>
      <c r="B1" s="2" t="n"/>
      <c r="C1" s="2" t="n"/>
      <c r="D1" s="2" t="n"/>
      <c r="E1" s="2" t="n"/>
    </row>
    <row r="2">
      <c r="A2" s="3" t="inlineStr">
        <is>
          <t>Жёлтые ячейки с синим шрифтом — вводные, меняй их. Остальное считается само. На каждого селлера: Файл → Создать копию.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1. Профиль селлера (из профилирования)</t>
        </is>
      </c>
      <c r="B4" s="5" t="n"/>
      <c r="C4" s="5" t="n"/>
      <c r="D4" s="5" t="n"/>
      <c r="E4" s="5" t="n"/>
    </row>
    <row r="5">
      <c r="A5" s="6" t="inlineStr">
        <is>
          <t>Бренд</t>
        </is>
      </c>
      <c r="B5" s="20" t="inlineStr">
        <is>
          <t>Пример бренда</t>
        </is>
      </c>
      <c r="C5" s="3" t="inlineStr"/>
      <c r="D5" s="2" t="n"/>
      <c r="E5" s="2" t="n"/>
    </row>
    <row r="6">
      <c r="A6" s="6" t="inlineStr">
        <is>
          <t>Ниша</t>
        </is>
      </c>
      <c r="B6" s="20" t="inlineStr">
        <is>
          <t>Одежда</t>
        </is>
      </c>
      <c r="C6" s="3" t="inlineStr"/>
      <c r="D6" s="2" t="n"/>
      <c r="E6" s="2" t="n"/>
    </row>
    <row r="7">
      <c r="A7" s="6" t="inlineStr">
        <is>
          <t>Оборот на маркетплейсах, ₽/мес</t>
        </is>
      </c>
      <c r="B7" s="21" t="n">
        <v>3000000</v>
      </c>
      <c r="C7" s="3" t="inlineStr">
        <is>
          <t>MPStats / Moneyplace</t>
        </is>
      </c>
      <c r="D7" s="2" t="n"/>
      <c r="E7" s="2" t="n"/>
    </row>
    <row r="8">
      <c r="A8" s="6" t="inlineStr">
        <is>
          <t>Средний чек на маркетплейсе, ₽</t>
        </is>
      </c>
      <c r="B8" s="21" t="n">
        <v>2500</v>
      </c>
      <c r="C8" s="3" t="inlineStr">
        <is>
          <t>MPStats / Moneyplace</t>
        </is>
      </c>
      <c r="D8" s="2" t="n"/>
      <c r="E8" s="2" t="n"/>
    </row>
    <row r="9">
      <c r="A9" s="6" t="inlineStr">
        <is>
          <t>Удержания маркетплейса, % выручки</t>
        </is>
      </c>
      <c r="B9" s="22" t="n">
        <v>0.42</v>
      </c>
      <c r="C9" s="3" t="inlineStr">
        <is>
          <t>Комиссия + логистика + хранение + реклама + возвраты. Рынок: 40–50% (Финансист, RB.ru 25.09.2026)</t>
        </is>
      </c>
      <c r="D9" s="2" t="n"/>
      <c r="E9" s="2" t="n"/>
    </row>
    <row r="10">
      <c r="A10" s="6" t="inlineStr">
        <is>
          <t>Себестоимость товара, % от цены</t>
        </is>
      </c>
      <c r="B10" s="22" t="n">
        <v>0.35</v>
      </c>
      <c r="C10" s="3" t="inlineStr">
        <is>
          <t>Спроси у селлера или возьми типовое для ниши</t>
        </is>
      </c>
      <c r="D10" s="2" t="n"/>
      <c r="E10" s="2" t="n"/>
    </row>
    <row r="11">
      <c r="A11" s="6" t="inlineStr">
        <is>
          <t>Запросы бренда в Вордстате, в мес</t>
        </is>
      </c>
      <c r="B11" s="23" t="n">
        <v>3000</v>
      </c>
      <c r="C11" s="3" t="inlineStr">
        <is>
          <t>wordstat.yandex.ru: название бренда, латиница + кириллица</t>
        </is>
      </c>
      <c r="D11" s="2" t="n"/>
      <c r="E11" s="2" t="n"/>
    </row>
    <row r="12">
      <c r="A12" s="6" t="inlineStr">
        <is>
          <t>Подписчики в соцсетях и Telegram</t>
        </is>
      </c>
      <c r="B12" s="23" t="n">
        <v>5000</v>
      </c>
      <c r="C12" s="3" t="inlineStr">
        <is>
          <t>Все свои каналы бренда вместе</t>
        </is>
      </c>
      <c r="D12" s="2" t="n"/>
      <c r="E12" s="2" t="n"/>
    </row>
    <row r="13">
      <c r="A13" s="6" t="inlineStr">
        <is>
          <t>Покупок одного клиента в год (в нише)</t>
        </is>
      </c>
      <c r="B13" s="24" t="n">
        <v>2</v>
      </c>
      <c r="C13" s="3" t="inlineStr">
        <is>
          <t>Одежда 2–3, косметика 4–6, расходники 6+</t>
        </is>
      </c>
      <c r="D13" s="2" t="n"/>
      <c r="E13" s="2" t="n"/>
    </row>
    <row r="14">
      <c r="A14" s="6" t="inlineStr">
        <is>
          <t>Товар на складах маркетплейсов, ₽</t>
        </is>
      </c>
      <c r="B14" s="21" t="n">
        <v>6000000</v>
      </c>
      <c r="C14" s="3" t="inlineStr">
        <is>
          <t>Остатки по себестоимости или по цене</t>
        </is>
      </c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4" t="inlineStr">
        <is>
          <t>2. Допущения по сценариям</t>
        </is>
      </c>
      <c r="B17" s="5" t="n"/>
      <c r="C17" s="5" t="n"/>
      <c r="D17" s="5" t="n"/>
      <c r="E17" s="5" t="n"/>
    </row>
    <row r="18">
      <c r="A18" s="9" t="inlineStr">
        <is>
          <t>Показатель</t>
        </is>
      </c>
      <c r="B18" s="10" t="inlineStr">
        <is>
          <t>Осторожный</t>
        </is>
      </c>
      <c r="C18" s="10" t="inlineStr">
        <is>
          <t>Базовый</t>
        </is>
      </c>
      <c r="D18" s="10" t="inlineStr">
        <is>
          <t>Сильный</t>
        </is>
      </c>
      <c r="E18" s="9" t="inlineStr">
        <is>
          <t>Откуда цифра</t>
        </is>
      </c>
    </row>
    <row r="19">
      <c r="A19" s="6" t="inlineStr">
        <is>
          <t>Покупатели МП, перешедшие в базу (QR, Telegram, гарантия), % от заказов</t>
        </is>
      </c>
      <c r="B19" s="25" t="n">
        <v>0.01</v>
      </c>
      <c r="C19" s="25" t="n">
        <v>0.03</v>
      </c>
      <c r="D19" s="25" t="n">
        <v>0.05</v>
      </c>
      <c r="E19" s="3" t="inlineStr">
        <is>
          <t>QR на гарантию/инструкцию в Telegram-боте, адрес сайта в чате WB (разрешено). По рынку 1–5% заказов (не проверено). Нельзя: «бонус за отзыв» (штраф WB 50 000 ₽), контакты во вкладышах Ozon</t>
        </is>
      </c>
    </row>
    <row r="20">
      <c r="A20" s="6" t="inlineStr">
        <is>
          <t>Доля повторных покупок базы, сделанных на сайте</t>
        </is>
      </c>
      <c r="B20" s="22" t="n">
        <v>0.2</v>
      </c>
      <c r="C20" s="22" t="n">
        <v>0.35</v>
      </c>
      <c r="D20" s="22" t="n">
        <v>0.45</v>
      </c>
      <c r="E20" s="3" t="inlineStr">
        <is>
          <t>Зависит от выгоды на сайте: бонусы, наборы, эксклюзивы</t>
        </is>
      </c>
    </row>
    <row r="21">
      <c r="A21" s="6" t="inlineStr">
        <is>
          <t>Доля брендового поиска, которую забирает сайт</t>
        </is>
      </c>
      <c r="B21" s="22" t="n">
        <v>0.1</v>
      </c>
      <c r="C21" s="22" t="n">
        <v>0.2</v>
      </c>
      <c r="D21" s="22" t="n">
        <v>0.3</v>
      </c>
      <c r="E21" s="3" t="inlineStr">
        <is>
          <t>Остальное уходит на WB/Ozon. 7 из 10 проверяют товар на МП (Я.Маркет, 2025)</t>
        </is>
      </c>
    </row>
    <row r="22">
      <c r="A22" s="6" t="inlineStr">
        <is>
          <t>Конверсия брендового трафика</t>
        </is>
      </c>
      <c r="B22" s="25" t="n">
        <v>0.02</v>
      </c>
      <c r="C22" s="25" t="n">
        <v>0.03</v>
      </c>
      <c r="D22" s="25" t="n">
        <v>0.04</v>
      </c>
      <c r="E22" s="3" t="inlineStr">
        <is>
          <t>Брендовый трафик 3–6%, холодный 0,8–2% (оценка)</t>
        </is>
      </c>
    </row>
    <row r="23">
      <c r="A23" s="6" t="inlineStr">
        <is>
          <t>Покупают на сайте в месяц, % подписчиков</t>
        </is>
      </c>
      <c r="B23" s="25" t="n">
        <v>0.002</v>
      </c>
      <c r="C23" s="25" t="n">
        <v>0.004</v>
      </c>
      <c r="D23" s="25" t="n">
        <v>0.007</v>
      </c>
      <c r="E23" s="3" t="inlineStr">
        <is>
          <t>Оценка</t>
        </is>
      </c>
    </row>
    <row r="24">
      <c r="A24" s="6" t="inlineStr">
        <is>
          <t>Бюджет на Директ / VK, ₽/мес</t>
        </is>
      </c>
      <c r="B24" s="21" t="n">
        <v>30000</v>
      </c>
      <c r="C24" s="21" t="n">
        <v>60000</v>
      </c>
      <c r="D24" s="21" t="n">
        <v>100000</v>
      </c>
      <c r="E24" s="3" t="inlineStr">
        <is>
          <t>Холодная реклама на старте обычно в минус, окупается позже</t>
        </is>
      </c>
    </row>
    <row r="25">
      <c r="A25" s="6" t="inlineStr">
        <is>
          <t>Цена клика, ₽</t>
        </is>
      </c>
      <c r="B25" s="21" t="n">
        <v>45</v>
      </c>
      <c r="C25" s="21" t="n">
        <v>45</v>
      </c>
      <c r="D25" s="21" t="n">
        <v>45</v>
      </c>
      <c r="E25" s="3" t="inlineStr">
        <is>
          <t>Директ на поиске 44 ₽ (click.ru, 2 кв. 2026), товарные 50–150 ₽</t>
        </is>
      </c>
    </row>
    <row r="26">
      <c r="A26" s="6" t="inlineStr">
        <is>
          <t>Конверсия рекламного трафика</t>
        </is>
      </c>
      <c r="B26" s="25" t="n">
        <v>0.008</v>
      </c>
      <c r="C26" s="25" t="n">
        <v>0.012</v>
      </c>
      <c r="D26" s="25" t="n">
        <v>0.018</v>
      </c>
      <c r="E26" s="3" t="inlineStr">
        <is>
          <t>Холодный трафик нового сайта 0,8–2% (оценка)</t>
        </is>
      </c>
    </row>
    <row r="27">
      <c r="A27" s="6" t="inlineStr">
        <is>
          <t>Средний чек на сайте, % от чека МП</t>
        </is>
      </c>
      <c r="B27" s="22" t="n">
        <v>1</v>
      </c>
      <c r="C27" s="22" t="n">
        <v>1.1</v>
      </c>
      <c r="D27" s="22" t="n">
        <v>1.2</v>
      </c>
      <c r="E27" s="3" t="inlineStr">
        <is>
          <t>На сайте чек выше за счёт наборов и бесплатной доставки от суммы</t>
        </is>
      </c>
    </row>
    <row r="28">
      <c r="A28" s="6" t="inlineStr">
        <is>
          <t>Новые покупатели (не ушли бы на МП), % выручки сайта</t>
        </is>
      </c>
      <c r="B28" s="22" t="n">
        <v>0.2</v>
      </c>
      <c r="C28" s="22" t="n">
        <v>0.3</v>
      </c>
      <c r="D28" s="22" t="n">
        <v>0.4</v>
      </c>
      <c r="E28" s="3" t="inlineStr">
        <is>
          <t>Остальное — каннибализация: эти деньги селлер получил бы на МП</t>
        </is>
      </c>
    </row>
    <row r="29">
      <c r="A29" s="6" t="inlineStr">
        <is>
          <t>Отток базы в месяц (перестают покупать)</t>
        </is>
      </c>
      <c r="B29" s="22" t="n">
        <v>0.06</v>
      </c>
      <c r="C29" s="22" t="n">
        <v>0.05</v>
      </c>
      <c r="D29" s="22" t="n">
        <v>0.04</v>
      </c>
      <c r="E29" s="3" t="inlineStr">
        <is>
          <t>Без оттока база растёт бесконечно; 4–6% в месяц — около половины за год</t>
        </is>
      </c>
    </row>
    <row r="30">
      <c r="A30" s="6" t="inlineStr">
        <is>
          <t>Месяцев до выхода на полную мощность</t>
        </is>
      </c>
      <c r="B30" s="26" t="n">
        <v>9</v>
      </c>
      <c r="C30" s="26" t="n">
        <v>6</v>
      </c>
      <c r="D30" s="26" t="n">
        <v>4</v>
      </c>
      <c r="E30" s="3" t="inlineStr">
        <is>
          <t>Разгон: SEO, база, оптимизация рекламы</t>
        </is>
      </c>
    </row>
    <row r="31">
      <c r="A31" s="2" t="n"/>
      <c r="B31" s="2" t="n"/>
      <c r="C31" s="2" t="n"/>
      <c r="D31" s="2" t="n"/>
      <c r="E31" s="2" t="n"/>
    </row>
    <row r="32">
      <c r="A32" s="4" t="inlineStr">
        <is>
          <t>3. Расходы своего сайта</t>
        </is>
      </c>
      <c r="B32" s="5" t="n"/>
      <c r="C32" s="5" t="n"/>
      <c r="D32" s="5" t="n"/>
      <c r="E32" s="5" t="n"/>
    </row>
    <row r="33">
      <c r="A33" s="6" t="inlineStr">
        <is>
          <t>Эквайринг, % от выручки сайта</t>
        </is>
      </c>
      <c r="B33" s="25" t="n">
        <v>0.02</v>
      </c>
      <c r="C33" s="3" t="inlineStr">
        <is>
          <t>СБП 0,4–0,7%, карты около 2,8% (ЮKassa)</t>
        </is>
      </c>
      <c r="D33" s="2" t="n"/>
      <c r="E33" s="2" t="n"/>
    </row>
    <row r="34">
      <c r="A34" s="6" t="inlineStr">
        <is>
          <t>Доставка до ПВЗ, ₽/заказ (за счёт продавца)</t>
        </is>
      </c>
      <c r="B34" s="21" t="n">
        <v>250</v>
      </c>
      <c r="C34" s="3" t="inlineStr">
        <is>
          <t>Яндекс от 99 ₽, Ozon от 123 ₽, СДЭК от 250 ₽</t>
        </is>
      </c>
      <c r="D34" s="2" t="n"/>
      <c r="E34" s="2" t="n"/>
    </row>
    <row r="35">
      <c r="A35" s="6" t="inlineStr">
        <is>
          <t>Сборка и упаковка, ₽/заказ</t>
        </is>
      </c>
      <c r="B35" s="21" t="n">
        <v>70</v>
      </c>
      <c r="C35" s="3" t="inlineStr">
        <is>
          <t>Фулфилмент 50–75 ₽</t>
        </is>
      </c>
      <c r="D35" s="2" t="n"/>
      <c r="E35" s="2" t="n"/>
    </row>
    <row r="36">
      <c r="A36" s="6" t="inlineStr">
        <is>
          <t>Бонусы и рассылки, % от выручки базы</t>
        </is>
      </c>
      <c r="B36" s="22" t="n">
        <v>0.07000000000000001</v>
      </c>
      <c r="C36" s="3" t="inlineStr">
        <is>
          <t>Бонусы за покупку на сайте + сервис рассылок</t>
        </is>
      </c>
      <c r="D36" s="2" t="n"/>
      <c r="E36" s="2" t="n"/>
    </row>
    <row r="37">
      <c r="A37" s="6" t="inlineStr">
        <is>
          <t>Брендовая реклама и SEO, % от выручки бренд-трафика</t>
        </is>
      </c>
      <c r="B37" s="22" t="n">
        <v>0.05</v>
      </c>
      <c r="C37" s="3" t="inlineStr">
        <is>
          <t>Защита бренда в Директе</t>
        </is>
      </c>
      <c r="D37" s="2" t="n"/>
      <c r="E37" s="2" t="n"/>
    </row>
    <row r="38">
      <c r="A38" s="6" t="inlineStr">
        <is>
          <t>Платформа, CRM, сервисы, ₽/мес</t>
        </is>
      </c>
      <c r="B38" s="21" t="n">
        <v>15000</v>
      </c>
      <c r="C38" s="3" t="inlineStr">
        <is>
          <t>InSales/Битрикс + CRM + бот</t>
        </is>
      </c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4" t="inlineStr">
        <is>
          <t>4. Наши услуги (для КП)</t>
        </is>
      </c>
      <c r="B40" s="5" t="n"/>
      <c r="C40" s="5" t="n"/>
      <c r="D40" s="5" t="n"/>
      <c r="E40" s="5" t="n"/>
    </row>
    <row r="41">
      <c r="A41" s="6" t="inlineStr">
        <is>
          <t>Запуск под ключ, ₽ (разово)</t>
        </is>
      </c>
      <c r="B41" s="21" t="n">
        <v>200000</v>
      </c>
      <c r="C41" s="3" t="inlineStr">
        <is>
          <t>Подставь свою цену</t>
        </is>
      </c>
      <c r="D41" s="2" t="n"/>
      <c r="E41" s="2" t="n"/>
    </row>
    <row r="42">
      <c r="A42" s="6" t="inlineStr">
        <is>
          <t>Сопровождение, ₽/мес</t>
        </is>
      </c>
      <c r="B42" s="21" t="n">
        <v>50000</v>
      </c>
      <c r="C42" s="3" t="inlineStr">
        <is>
          <t>Подставь свою цену</t>
        </is>
      </c>
      <c r="D42" s="2" t="n"/>
      <c r="E42" s="2" t="n"/>
    </row>
    <row r="43">
      <c r="A43" s="6" t="inlineStr">
        <is>
          <t>Процент с продаж сайта</t>
        </is>
      </c>
      <c r="B43" s="22" t="n">
        <v>0</v>
      </c>
      <c r="C43" s="3" t="inlineStr">
        <is>
          <t>Если работаешь за результат</t>
        </is>
      </c>
      <c r="D43" s="2" t="n"/>
      <c r="E4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27" t="inlineStr">
        <is>
          <t>Помесячный расчёт по трём сценариям (24 месяца)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Ничего не вводить: всё считается из листа «Ввод».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Сценарий: Осторожный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28" t="inlineStr">
        <is>
          <t>Месяц</t>
        </is>
      </c>
      <c r="B5" s="29" t="n">
        <v>1</v>
      </c>
      <c r="C5" s="29" t="n">
        <v>2</v>
      </c>
      <c r="D5" s="29" t="n">
        <v>3</v>
      </c>
      <c r="E5" s="29" t="n">
        <v>4</v>
      </c>
      <c r="F5" s="29" t="n">
        <v>5</v>
      </c>
      <c r="G5" s="29" t="n">
        <v>6</v>
      </c>
      <c r="H5" s="29" t="n">
        <v>7</v>
      </c>
      <c r="I5" s="29" t="n">
        <v>8</v>
      </c>
      <c r="J5" s="29" t="n">
        <v>9</v>
      </c>
      <c r="K5" s="29" t="n">
        <v>10</v>
      </c>
      <c r="L5" s="29" t="n">
        <v>11</v>
      </c>
      <c r="M5" s="29" t="n">
        <v>12</v>
      </c>
      <c r="N5" s="29" t="n">
        <v>13</v>
      </c>
      <c r="O5" s="29" t="n">
        <v>14</v>
      </c>
      <c r="P5" s="29" t="n">
        <v>15</v>
      </c>
      <c r="Q5" s="29" t="n">
        <v>16</v>
      </c>
      <c r="R5" s="29" t="n">
        <v>17</v>
      </c>
      <c r="S5" s="29" t="n">
        <v>18</v>
      </c>
      <c r="T5" s="29" t="n">
        <v>19</v>
      </c>
      <c r="U5" s="29" t="n">
        <v>20</v>
      </c>
      <c r="V5" s="29" t="n">
        <v>21</v>
      </c>
      <c r="W5" s="29" t="n">
        <v>22</v>
      </c>
      <c r="X5" s="29" t="n">
        <v>23</v>
      </c>
      <c r="Y5" s="29" t="n">
        <v>24</v>
      </c>
    </row>
    <row r="6">
      <c r="A6" s="6" t="inlineStr">
        <is>
          <t>Разгон (доля полной мощности)</t>
        </is>
      </c>
      <c r="B6" s="30">
        <f>MIN(1,B5/ramp_1)</f>
        <v/>
      </c>
      <c r="C6" s="30">
        <f>MIN(1,C5/ramp_1)</f>
        <v/>
      </c>
      <c r="D6" s="30">
        <f>MIN(1,D5/ramp_1)</f>
        <v/>
      </c>
      <c r="E6" s="30">
        <f>MIN(1,E5/ramp_1)</f>
        <v/>
      </c>
      <c r="F6" s="30">
        <f>MIN(1,F5/ramp_1)</f>
        <v/>
      </c>
      <c r="G6" s="30">
        <f>MIN(1,G5/ramp_1)</f>
        <v/>
      </c>
      <c r="H6" s="30">
        <f>MIN(1,H5/ramp_1)</f>
        <v/>
      </c>
      <c r="I6" s="30">
        <f>MIN(1,I5/ramp_1)</f>
        <v/>
      </c>
      <c r="J6" s="30">
        <f>MIN(1,J5/ramp_1)</f>
        <v/>
      </c>
      <c r="K6" s="30">
        <f>MIN(1,K5/ramp_1)</f>
        <v/>
      </c>
      <c r="L6" s="30">
        <f>MIN(1,L5/ramp_1)</f>
        <v/>
      </c>
      <c r="M6" s="30">
        <f>MIN(1,M5/ramp_1)</f>
        <v/>
      </c>
      <c r="N6" s="30">
        <f>MIN(1,N5/ramp_1)</f>
        <v/>
      </c>
      <c r="O6" s="30">
        <f>MIN(1,O5/ramp_1)</f>
        <v/>
      </c>
      <c r="P6" s="30">
        <f>MIN(1,P5/ramp_1)</f>
        <v/>
      </c>
      <c r="Q6" s="30">
        <f>MIN(1,Q5/ramp_1)</f>
        <v/>
      </c>
      <c r="R6" s="30">
        <f>MIN(1,R5/ramp_1)</f>
        <v/>
      </c>
      <c r="S6" s="30">
        <f>MIN(1,S5/ramp_1)</f>
        <v/>
      </c>
      <c r="T6" s="30">
        <f>MIN(1,T5/ramp_1)</f>
        <v/>
      </c>
      <c r="U6" s="30">
        <f>MIN(1,U5/ramp_1)</f>
        <v/>
      </c>
      <c r="V6" s="30">
        <f>MIN(1,V5/ramp_1)</f>
        <v/>
      </c>
      <c r="W6" s="30">
        <f>MIN(1,W5/ramp_1)</f>
        <v/>
      </c>
      <c r="X6" s="30">
        <f>MIN(1,X5/ramp_1)</f>
        <v/>
      </c>
      <c r="Y6" s="30">
        <f>MIN(1,Y5/ramp_1)</f>
        <v/>
      </c>
    </row>
    <row r="7">
      <c r="A7" s="6" t="inlineStr">
        <is>
          <t>Заказов на МП в месяц</t>
        </is>
      </c>
      <c r="B7" s="31">
        <f>mp_rev/mp_aov</f>
        <v/>
      </c>
      <c r="C7" s="31">
        <f>mp_rev/mp_aov</f>
        <v/>
      </c>
      <c r="D7" s="31">
        <f>mp_rev/mp_aov</f>
        <v/>
      </c>
      <c r="E7" s="31">
        <f>mp_rev/mp_aov</f>
        <v/>
      </c>
      <c r="F7" s="31">
        <f>mp_rev/mp_aov</f>
        <v/>
      </c>
      <c r="G7" s="31">
        <f>mp_rev/mp_aov</f>
        <v/>
      </c>
      <c r="H7" s="31">
        <f>mp_rev/mp_aov</f>
        <v/>
      </c>
      <c r="I7" s="31">
        <f>mp_rev/mp_aov</f>
        <v/>
      </c>
      <c r="J7" s="31">
        <f>mp_rev/mp_aov</f>
        <v/>
      </c>
      <c r="K7" s="31">
        <f>mp_rev/mp_aov</f>
        <v/>
      </c>
      <c r="L7" s="31">
        <f>mp_rev/mp_aov</f>
        <v/>
      </c>
      <c r="M7" s="31">
        <f>mp_rev/mp_aov</f>
        <v/>
      </c>
      <c r="N7" s="31">
        <f>mp_rev/mp_aov</f>
        <v/>
      </c>
      <c r="O7" s="31">
        <f>mp_rev/mp_aov</f>
        <v/>
      </c>
      <c r="P7" s="31">
        <f>mp_rev/mp_aov</f>
        <v/>
      </c>
      <c r="Q7" s="31">
        <f>mp_rev/mp_aov</f>
        <v/>
      </c>
      <c r="R7" s="31">
        <f>mp_rev/mp_aov</f>
        <v/>
      </c>
      <c r="S7" s="31">
        <f>mp_rev/mp_aov</f>
        <v/>
      </c>
      <c r="T7" s="31">
        <f>mp_rev/mp_aov</f>
        <v/>
      </c>
      <c r="U7" s="31">
        <f>mp_rev/mp_aov</f>
        <v/>
      </c>
      <c r="V7" s="31">
        <f>mp_rev/mp_aov</f>
        <v/>
      </c>
      <c r="W7" s="31">
        <f>mp_rev/mp_aov</f>
        <v/>
      </c>
      <c r="X7" s="31">
        <f>mp_rev/mp_aov</f>
        <v/>
      </c>
      <c r="Y7" s="31">
        <f>mp_rev/mp_aov</f>
        <v/>
      </c>
    </row>
    <row r="8">
      <c r="A8" s="6" t="inlineStr">
        <is>
          <t>Новых людей в базе (с МП + новые покупатели сайта)</t>
        </is>
      </c>
      <c r="B8" s="31">
        <f>B7*conv_base_1*B6+B11+B12+B13</f>
        <v/>
      </c>
      <c r="C8" s="31">
        <f>C7*conv_base_1*C6+C11+C12+C13</f>
        <v/>
      </c>
      <c r="D8" s="31">
        <f>D7*conv_base_1*D6+D11+D12+D13</f>
        <v/>
      </c>
      <c r="E8" s="31">
        <f>E7*conv_base_1*E6+E11+E12+E13</f>
        <v/>
      </c>
      <c r="F8" s="31">
        <f>F7*conv_base_1*F6+F11+F12+F13</f>
        <v/>
      </c>
      <c r="G8" s="31">
        <f>G7*conv_base_1*G6+G11+G12+G13</f>
        <v/>
      </c>
      <c r="H8" s="31">
        <f>H7*conv_base_1*H6+H11+H12+H13</f>
        <v/>
      </c>
      <c r="I8" s="31">
        <f>I7*conv_base_1*I6+I11+I12+I13</f>
        <v/>
      </c>
      <c r="J8" s="31">
        <f>J7*conv_base_1*J6+J11+J12+J13</f>
        <v/>
      </c>
      <c r="K8" s="31">
        <f>K7*conv_base_1*K6+K11+K12+K13</f>
        <v/>
      </c>
      <c r="L8" s="31">
        <f>L7*conv_base_1*L6+L11+L12+L13</f>
        <v/>
      </c>
      <c r="M8" s="31">
        <f>M7*conv_base_1*M6+M11+M12+M13</f>
        <v/>
      </c>
      <c r="N8" s="31">
        <f>N7*conv_base_1*N6+N11+N12+N13</f>
        <v/>
      </c>
      <c r="O8" s="31">
        <f>O7*conv_base_1*O6+O11+O12+O13</f>
        <v/>
      </c>
      <c r="P8" s="31">
        <f>P7*conv_base_1*P6+P11+P12+P13</f>
        <v/>
      </c>
      <c r="Q8" s="31">
        <f>Q7*conv_base_1*Q6+Q11+Q12+Q13</f>
        <v/>
      </c>
      <c r="R8" s="31">
        <f>R7*conv_base_1*R6+R11+R12+R13</f>
        <v/>
      </c>
      <c r="S8" s="31">
        <f>S7*conv_base_1*S6+S11+S12+S13</f>
        <v/>
      </c>
      <c r="T8" s="31">
        <f>T7*conv_base_1*T6+T11+T12+T13</f>
        <v/>
      </c>
      <c r="U8" s="31">
        <f>U7*conv_base_1*U6+U11+U12+U13</f>
        <v/>
      </c>
      <c r="V8" s="31">
        <f>V7*conv_base_1*V6+V11+V12+V13</f>
        <v/>
      </c>
      <c r="W8" s="31">
        <f>W7*conv_base_1*W6+W11+W12+W13</f>
        <v/>
      </c>
      <c r="X8" s="31">
        <f>X7*conv_base_1*X6+X11+X12+X13</f>
        <v/>
      </c>
      <c r="Y8" s="31">
        <f>Y7*conv_base_1*Y6+Y11+Y12+Y13</f>
        <v/>
      </c>
    </row>
    <row r="9">
      <c r="A9" s="6" t="inlineStr">
        <is>
          <t>База на конец месяца</t>
        </is>
      </c>
      <c r="B9" s="31">
        <f>B8</f>
        <v/>
      </c>
      <c r="C9" s="31">
        <f>B9*(1-churn_1)+C8</f>
        <v/>
      </c>
      <c r="D9" s="31">
        <f>C9*(1-churn_1)+D8</f>
        <v/>
      </c>
      <c r="E9" s="31">
        <f>D9*(1-churn_1)+E8</f>
        <v/>
      </c>
      <c r="F9" s="31">
        <f>E9*(1-churn_1)+F8</f>
        <v/>
      </c>
      <c r="G9" s="31">
        <f>F9*(1-churn_1)+G8</f>
        <v/>
      </c>
      <c r="H9" s="31">
        <f>G9*(1-churn_1)+H8</f>
        <v/>
      </c>
      <c r="I9" s="31">
        <f>H9*(1-churn_1)+I8</f>
        <v/>
      </c>
      <c r="J9" s="31">
        <f>I9*(1-churn_1)+J8</f>
        <v/>
      </c>
      <c r="K9" s="31">
        <f>J9*(1-churn_1)+K8</f>
        <v/>
      </c>
      <c r="L9" s="31">
        <f>K9*(1-churn_1)+L8</f>
        <v/>
      </c>
      <c r="M9" s="31">
        <f>L9*(1-churn_1)+M8</f>
        <v/>
      </c>
      <c r="N9" s="31">
        <f>M9*(1-churn_1)+N8</f>
        <v/>
      </c>
      <c r="O9" s="31">
        <f>N9*(1-churn_1)+O8</f>
        <v/>
      </c>
      <c r="P9" s="31">
        <f>O9*(1-churn_1)+P8</f>
        <v/>
      </c>
      <c r="Q9" s="31">
        <f>P9*(1-churn_1)+Q8</f>
        <v/>
      </c>
      <c r="R9" s="31">
        <f>Q9*(1-churn_1)+R8</f>
        <v/>
      </c>
      <c r="S9" s="31">
        <f>R9*(1-churn_1)+S8</f>
        <v/>
      </c>
      <c r="T9" s="31">
        <f>S9*(1-churn_1)+T8</f>
        <v/>
      </c>
      <c r="U9" s="31">
        <f>T9*(1-churn_1)+U8</f>
        <v/>
      </c>
      <c r="V9" s="31">
        <f>U9*(1-churn_1)+V8</f>
        <v/>
      </c>
      <c r="W9" s="31">
        <f>V9*(1-churn_1)+W8</f>
        <v/>
      </c>
      <c r="X9" s="31">
        <f>W9*(1-churn_1)+X8</f>
        <v/>
      </c>
      <c r="Y9" s="31">
        <f>X9*(1-churn_1)+Y8</f>
        <v/>
      </c>
    </row>
    <row r="10">
      <c r="A10" s="6" t="inlineStr">
        <is>
          <t>Заказы сайта: повторные из базы</t>
        </is>
      </c>
      <c r="B10" s="32">
        <f>0*freq/12*base_site_1</f>
        <v/>
      </c>
      <c r="C10" s="32">
        <f>B9*freq/12*base_site_1</f>
        <v/>
      </c>
      <c r="D10" s="32">
        <f>C9*freq/12*base_site_1</f>
        <v/>
      </c>
      <c r="E10" s="32">
        <f>D9*freq/12*base_site_1</f>
        <v/>
      </c>
      <c r="F10" s="32">
        <f>E9*freq/12*base_site_1</f>
        <v/>
      </c>
      <c r="G10" s="32">
        <f>F9*freq/12*base_site_1</f>
        <v/>
      </c>
      <c r="H10" s="32">
        <f>G9*freq/12*base_site_1</f>
        <v/>
      </c>
      <c r="I10" s="32">
        <f>H9*freq/12*base_site_1</f>
        <v/>
      </c>
      <c r="J10" s="32">
        <f>I9*freq/12*base_site_1</f>
        <v/>
      </c>
      <c r="K10" s="32">
        <f>J9*freq/12*base_site_1</f>
        <v/>
      </c>
      <c r="L10" s="32">
        <f>K9*freq/12*base_site_1</f>
        <v/>
      </c>
      <c r="M10" s="32">
        <f>L9*freq/12*base_site_1</f>
        <v/>
      </c>
      <c r="N10" s="32">
        <f>M9*freq/12*base_site_1</f>
        <v/>
      </c>
      <c r="O10" s="32">
        <f>N9*freq/12*base_site_1</f>
        <v/>
      </c>
      <c r="P10" s="32">
        <f>O9*freq/12*base_site_1</f>
        <v/>
      </c>
      <c r="Q10" s="32">
        <f>P9*freq/12*base_site_1</f>
        <v/>
      </c>
      <c r="R10" s="32">
        <f>Q9*freq/12*base_site_1</f>
        <v/>
      </c>
      <c r="S10" s="32">
        <f>R9*freq/12*base_site_1</f>
        <v/>
      </c>
      <c r="T10" s="32">
        <f>S9*freq/12*base_site_1</f>
        <v/>
      </c>
      <c r="U10" s="32">
        <f>T9*freq/12*base_site_1</f>
        <v/>
      </c>
      <c r="V10" s="32">
        <f>U9*freq/12*base_site_1</f>
        <v/>
      </c>
      <c r="W10" s="32">
        <f>V9*freq/12*base_site_1</f>
        <v/>
      </c>
      <c r="X10" s="32">
        <f>W9*freq/12*base_site_1</f>
        <v/>
      </c>
      <c r="Y10" s="32">
        <f>X9*freq/12*base_site_1</f>
        <v/>
      </c>
    </row>
    <row r="11">
      <c r="A11" s="6" t="inlineStr">
        <is>
          <t>Заказы сайта: брендовый поиск</t>
        </is>
      </c>
      <c r="B11" s="32">
        <f>wordstat*brand_share_1*B6*brand_cr_1</f>
        <v/>
      </c>
      <c r="C11" s="32">
        <f>wordstat*brand_share_1*C6*brand_cr_1</f>
        <v/>
      </c>
      <c r="D11" s="32">
        <f>wordstat*brand_share_1*D6*brand_cr_1</f>
        <v/>
      </c>
      <c r="E11" s="32">
        <f>wordstat*brand_share_1*E6*brand_cr_1</f>
        <v/>
      </c>
      <c r="F11" s="32">
        <f>wordstat*brand_share_1*F6*brand_cr_1</f>
        <v/>
      </c>
      <c r="G11" s="32">
        <f>wordstat*brand_share_1*G6*brand_cr_1</f>
        <v/>
      </c>
      <c r="H11" s="32">
        <f>wordstat*brand_share_1*H6*brand_cr_1</f>
        <v/>
      </c>
      <c r="I11" s="32">
        <f>wordstat*brand_share_1*I6*brand_cr_1</f>
        <v/>
      </c>
      <c r="J11" s="32">
        <f>wordstat*brand_share_1*J6*brand_cr_1</f>
        <v/>
      </c>
      <c r="K11" s="32">
        <f>wordstat*brand_share_1*K6*brand_cr_1</f>
        <v/>
      </c>
      <c r="L11" s="32">
        <f>wordstat*brand_share_1*L6*brand_cr_1</f>
        <v/>
      </c>
      <c r="M11" s="32">
        <f>wordstat*brand_share_1*M6*brand_cr_1</f>
        <v/>
      </c>
      <c r="N11" s="32">
        <f>wordstat*brand_share_1*N6*brand_cr_1</f>
        <v/>
      </c>
      <c r="O11" s="32">
        <f>wordstat*brand_share_1*O6*brand_cr_1</f>
        <v/>
      </c>
      <c r="P11" s="32">
        <f>wordstat*brand_share_1*P6*brand_cr_1</f>
        <v/>
      </c>
      <c r="Q11" s="32">
        <f>wordstat*brand_share_1*Q6*brand_cr_1</f>
        <v/>
      </c>
      <c r="R11" s="32">
        <f>wordstat*brand_share_1*R6*brand_cr_1</f>
        <v/>
      </c>
      <c r="S11" s="32">
        <f>wordstat*brand_share_1*S6*brand_cr_1</f>
        <v/>
      </c>
      <c r="T11" s="32">
        <f>wordstat*brand_share_1*T6*brand_cr_1</f>
        <v/>
      </c>
      <c r="U11" s="32">
        <f>wordstat*brand_share_1*U6*brand_cr_1</f>
        <v/>
      </c>
      <c r="V11" s="32">
        <f>wordstat*brand_share_1*V6*brand_cr_1</f>
        <v/>
      </c>
      <c r="W11" s="32">
        <f>wordstat*brand_share_1*W6*brand_cr_1</f>
        <v/>
      </c>
      <c r="X11" s="32">
        <f>wordstat*brand_share_1*X6*brand_cr_1</f>
        <v/>
      </c>
      <c r="Y11" s="32">
        <f>wordstat*brand_share_1*Y6*brand_cr_1</f>
        <v/>
      </c>
    </row>
    <row r="12">
      <c r="A12" s="6" t="inlineStr">
        <is>
          <t>Заказы сайта: соцсети и Telegram</t>
        </is>
      </c>
      <c r="B12" s="32">
        <f>followers*social_cr_1*B6</f>
        <v/>
      </c>
      <c r="C12" s="32">
        <f>followers*social_cr_1*C6</f>
        <v/>
      </c>
      <c r="D12" s="32">
        <f>followers*social_cr_1*D6</f>
        <v/>
      </c>
      <c r="E12" s="32">
        <f>followers*social_cr_1*E6</f>
        <v/>
      </c>
      <c r="F12" s="32">
        <f>followers*social_cr_1*F6</f>
        <v/>
      </c>
      <c r="G12" s="32">
        <f>followers*social_cr_1*G6</f>
        <v/>
      </c>
      <c r="H12" s="32">
        <f>followers*social_cr_1*H6</f>
        <v/>
      </c>
      <c r="I12" s="32">
        <f>followers*social_cr_1*I6</f>
        <v/>
      </c>
      <c r="J12" s="32">
        <f>followers*social_cr_1*J6</f>
        <v/>
      </c>
      <c r="K12" s="32">
        <f>followers*social_cr_1*K6</f>
        <v/>
      </c>
      <c r="L12" s="32">
        <f>followers*social_cr_1*L6</f>
        <v/>
      </c>
      <c r="M12" s="32">
        <f>followers*social_cr_1*M6</f>
        <v/>
      </c>
      <c r="N12" s="32">
        <f>followers*social_cr_1*N6</f>
        <v/>
      </c>
      <c r="O12" s="32">
        <f>followers*social_cr_1*O6</f>
        <v/>
      </c>
      <c r="P12" s="32">
        <f>followers*social_cr_1*P6</f>
        <v/>
      </c>
      <c r="Q12" s="32">
        <f>followers*social_cr_1*Q6</f>
        <v/>
      </c>
      <c r="R12" s="32">
        <f>followers*social_cr_1*R6</f>
        <v/>
      </c>
      <c r="S12" s="32">
        <f>followers*social_cr_1*S6</f>
        <v/>
      </c>
      <c r="T12" s="32">
        <f>followers*social_cr_1*T6</f>
        <v/>
      </c>
      <c r="U12" s="32">
        <f>followers*social_cr_1*U6</f>
        <v/>
      </c>
      <c r="V12" s="32">
        <f>followers*social_cr_1*V6</f>
        <v/>
      </c>
      <c r="W12" s="32">
        <f>followers*social_cr_1*W6</f>
        <v/>
      </c>
      <c r="X12" s="32">
        <f>followers*social_cr_1*X6</f>
        <v/>
      </c>
      <c r="Y12" s="32">
        <f>followers*social_cr_1*Y6</f>
        <v/>
      </c>
    </row>
    <row r="13">
      <c r="A13" s="6" t="inlineStr">
        <is>
          <t>Заказы сайта: Директ / VK</t>
        </is>
      </c>
      <c r="B13" s="32">
        <f>ads_budget_1/cpc_1*ads_cr_1*(0.5+0.5*B6)</f>
        <v/>
      </c>
      <c r="C13" s="32">
        <f>ads_budget_1/cpc_1*ads_cr_1*(0.5+0.5*C6)</f>
        <v/>
      </c>
      <c r="D13" s="32">
        <f>ads_budget_1/cpc_1*ads_cr_1*(0.5+0.5*D6)</f>
        <v/>
      </c>
      <c r="E13" s="32">
        <f>ads_budget_1/cpc_1*ads_cr_1*(0.5+0.5*E6)</f>
        <v/>
      </c>
      <c r="F13" s="32">
        <f>ads_budget_1/cpc_1*ads_cr_1*(0.5+0.5*F6)</f>
        <v/>
      </c>
      <c r="G13" s="32">
        <f>ads_budget_1/cpc_1*ads_cr_1*(0.5+0.5*G6)</f>
        <v/>
      </c>
      <c r="H13" s="32">
        <f>ads_budget_1/cpc_1*ads_cr_1*(0.5+0.5*H6)</f>
        <v/>
      </c>
      <c r="I13" s="32">
        <f>ads_budget_1/cpc_1*ads_cr_1*(0.5+0.5*I6)</f>
        <v/>
      </c>
      <c r="J13" s="32">
        <f>ads_budget_1/cpc_1*ads_cr_1*(0.5+0.5*J6)</f>
        <v/>
      </c>
      <c r="K13" s="32">
        <f>ads_budget_1/cpc_1*ads_cr_1*(0.5+0.5*K6)</f>
        <v/>
      </c>
      <c r="L13" s="32">
        <f>ads_budget_1/cpc_1*ads_cr_1*(0.5+0.5*L6)</f>
        <v/>
      </c>
      <c r="M13" s="32">
        <f>ads_budget_1/cpc_1*ads_cr_1*(0.5+0.5*M6)</f>
        <v/>
      </c>
      <c r="N13" s="32">
        <f>ads_budget_1/cpc_1*ads_cr_1*(0.5+0.5*N6)</f>
        <v/>
      </c>
      <c r="O13" s="32">
        <f>ads_budget_1/cpc_1*ads_cr_1*(0.5+0.5*O6)</f>
        <v/>
      </c>
      <c r="P13" s="32">
        <f>ads_budget_1/cpc_1*ads_cr_1*(0.5+0.5*P6)</f>
        <v/>
      </c>
      <c r="Q13" s="32">
        <f>ads_budget_1/cpc_1*ads_cr_1*(0.5+0.5*Q6)</f>
        <v/>
      </c>
      <c r="R13" s="32">
        <f>ads_budget_1/cpc_1*ads_cr_1*(0.5+0.5*R6)</f>
        <v/>
      </c>
      <c r="S13" s="32">
        <f>ads_budget_1/cpc_1*ads_cr_1*(0.5+0.5*S6)</f>
        <v/>
      </c>
      <c r="T13" s="32">
        <f>ads_budget_1/cpc_1*ads_cr_1*(0.5+0.5*T6)</f>
        <v/>
      </c>
      <c r="U13" s="32">
        <f>ads_budget_1/cpc_1*ads_cr_1*(0.5+0.5*U6)</f>
        <v/>
      </c>
      <c r="V13" s="32">
        <f>ads_budget_1/cpc_1*ads_cr_1*(0.5+0.5*V6)</f>
        <v/>
      </c>
      <c r="W13" s="32">
        <f>ads_budget_1/cpc_1*ads_cr_1*(0.5+0.5*W6)</f>
        <v/>
      </c>
      <c r="X13" s="32">
        <f>ads_budget_1/cpc_1*ads_cr_1*(0.5+0.5*X6)</f>
        <v/>
      </c>
      <c r="Y13" s="32">
        <f>ads_budget_1/cpc_1*ads_cr_1*(0.5+0.5*Y6)</f>
        <v/>
      </c>
    </row>
    <row r="14">
      <c r="A14" s="6" t="inlineStr">
        <is>
          <t>Заказов на сайте всего</t>
        </is>
      </c>
      <c r="B14" s="31">
        <f>B10+B11+B12+B13</f>
        <v/>
      </c>
      <c r="C14" s="31">
        <f>C10+C11+C12+C13</f>
        <v/>
      </c>
      <c r="D14" s="31">
        <f>D10+D11+D12+D13</f>
        <v/>
      </c>
      <c r="E14" s="31">
        <f>E10+E11+E12+E13</f>
        <v/>
      </c>
      <c r="F14" s="31">
        <f>F10+F11+F12+F13</f>
        <v/>
      </c>
      <c r="G14" s="31">
        <f>G10+G11+G12+G13</f>
        <v/>
      </c>
      <c r="H14" s="31">
        <f>H10+H11+H12+H13</f>
        <v/>
      </c>
      <c r="I14" s="31">
        <f>I10+I11+I12+I13</f>
        <v/>
      </c>
      <c r="J14" s="31">
        <f>J10+J11+J12+J13</f>
        <v/>
      </c>
      <c r="K14" s="31">
        <f>K10+K11+K12+K13</f>
        <v/>
      </c>
      <c r="L14" s="31">
        <f>L10+L11+L12+L13</f>
        <v/>
      </c>
      <c r="M14" s="31">
        <f>M10+M11+M12+M13</f>
        <v/>
      </c>
      <c r="N14" s="31">
        <f>N10+N11+N12+N13</f>
        <v/>
      </c>
      <c r="O14" s="31">
        <f>O10+O11+O12+O13</f>
        <v/>
      </c>
      <c r="P14" s="31">
        <f>P10+P11+P12+P13</f>
        <v/>
      </c>
      <c r="Q14" s="31">
        <f>Q10+Q11+Q12+Q13</f>
        <v/>
      </c>
      <c r="R14" s="31">
        <f>R10+R11+R12+R13</f>
        <v/>
      </c>
      <c r="S14" s="31">
        <f>S10+S11+S12+S13</f>
        <v/>
      </c>
      <c r="T14" s="31">
        <f>T10+T11+T12+T13</f>
        <v/>
      </c>
      <c r="U14" s="31">
        <f>U10+U11+U12+U13</f>
        <v/>
      </c>
      <c r="V14" s="31">
        <f>V10+V11+V12+V13</f>
        <v/>
      </c>
      <c r="W14" s="31">
        <f>W10+W11+W12+W13</f>
        <v/>
      </c>
      <c r="X14" s="31">
        <f>X10+X11+X12+X13</f>
        <v/>
      </c>
      <c r="Y14" s="31">
        <f>Y10+Y11+Y12+Y13</f>
        <v/>
      </c>
    </row>
    <row r="15">
      <c r="A15" s="6" t="inlineStr">
        <is>
          <t>Средний чек сайта, ₽</t>
        </is>
      </c>
      <c r="B15" s="33">
        <f>mp_aov*aov_k_1</f>
        <v/>
      </c>
      <c r="C15" s="33">
        <f>mp_aov*aov_k_1</f>
        <v/>
      </c>
      <c r="D15" s="33">
        <f>mp_aov*aov_k_1</f>
        <v/>
      </c>
      <c r="E15" s="33">
        <f>mp_aov*aov_k_1</f>
        <v/>
      </c>
      <c r="F15" s="33">
        <f>mp_aov*aov_k_1</f>
        <v/>
      </c>
      <c r="G15" s="33">
        <f>mp_aov*aov_k_1</f>
        <v/>
      </c>
      <c r="H15" s="33">
        <f>mp_aov*aov_k_1</f>
        <v/>
      </c>
      <c r="I15" s="33">
        <f>mp_aov*aov_k_1</f>
        <v/>
      </c>
      <c r="J15" s="33">
        <f>mp_aov*aov_k_1</f>
        <v/>
      </c>
      <c r="K15" s="33">
        <f>mp_aov*aov_k_1</f>
        <v/>
      </c>
      <c r="L15" s="33">
        <f>mp_aov*aov_k_1</f>
        <v/>
      </c>
      <c r="M15" s="33">
        <f>mp_aov*aov_k_1</f>
        <v/>
      </c>
      <c r="N15" s="33">
        <f>mp_aov*aov_k_1</f>
        <v/>
      </c>
      <c r="O15" s="33">
        <f>mp_aov*aov_k_1</f>
        <v/>
      </c>
      <c r="P15" s="33">
        <f>mp_aov*aov_k_1</f>
        <v/>
      </c>
      <c r="Q15" s="33">
        <f>mp_aov*aov_k_1</f>
        <v/>
      </c>
      <c r="R15" s="33">
        <f>mp_aov*aov_k_1</f>
        <v/>
      </c>
      <c r="S15" s="33">
        <f>mp_aov*aov_k_1</f>
        <v/>
      </c>
      <c r="T15" s="33">
        <f>mp_aov*aov_k_1</f>
        <v/>
      </c>
      <c r="U15" s="33">
        <f>mp_aov*aov_k_1</f>
        <v/>
      </c>
      <c r="V15" s="33">
        <f>mp_aov*aov_k_1</f>
        <v/>
      </c>
      <c r="W15" s="33">
        <f>mp_aov*aov_k_1</f>
        <v/>
      </c>
      <c r="X15" s="33">
        <f>mp_aov*aov_k_1</f>
        <v/>
      </c>
      <c r="Y15" s="33">
        <f>mp_aov*aov_k_1</f>
        <v/>
      </c>
    </row>
    <row r="16">
      <c r="A16" s="34" t="inlineStr">
        <is>
          <t>Выручка сайта, ₽</t>
        </is>
      </c>
      <c r="B16" s="7">
        <f>B14*B15</f>
        <v/>
      </c>
      <c r="C16" s="7">
        <f>C14*C15</f>
        <v/>
      </c>
      <c r="D16" s="7">
        <f>D14*D15</f>
        <v/>
      </c>
      <c r="E16" s="7">
        <f>E14*E15</f>
        <v/>
      </c>
      <c r="F16" s="7">
        <f>F14*F15</f>
        <v/>
      </c>
      <c r="G16" s="7">
        <f>G14*G15</f>
        <v/>
      </c>
      <c r="H16" s="7">
        <f>H14*H15</f>
        <v/>
      </c>
      <c r="I16" s="7">
        <f>I14*I15</f>
        <v/>
      </c>
      <c r="J16" s="7">
        <f>J14*J15</f>
        <v/>
      </c>
      <c r="K16" s="7">
        <f>K14*K15</f>
        <v/>
      </c>
      <c r="L16" s="7">
        <f>L14*L15</f>
        <v/>
      </c>
      <c r="M16" s="7">
        <f>M14*M15</f>
        <v/>
      </c>
      <c r="N16" s="7">
        <f>N14*N15</f>
        <v/>
      </c>
      <c r="O16" s="7">
        <f>O14*O15</f>
        <v/>
      </c>
      <c r="P16" s="7">
        <f>P14*P15</f>
        <v/>
      </c>
      <c r="Q16" s="7">
        <f>Q14*Q15</f>
        <v/>
      </c>
      <c r="R16" s="7">
        <f>R14*R15</f>
        <v/>
      </c>
      <c r="S16" s="7">
        <f>S14*S15</f>
        <v/>
      </c>
      <c r="T16" s="7">
        <f>T14*T15</f>
        <v/>
      </c>
      <c r="U16" s="7">
        <f>U14*U15</f>
        <v/>
      </c>
      <c r="V16" s="7">
        <f>V14*V15</f>
        <v/>
      </c>
      <c r="W16" s="7">
        <f>W14*W15</f>
        <v/>
      </c>
      <c r="X16" s="7">
        <f>X14*X15</f>
        <v/>
      </c>
      <c r="Y16" s="7">
        <f>Y14*Y15</f>
        <v/>
      </c>
    </row>
    <row r="17">
      <c r="A17" s="6" t="inlineStr">
        <is>
          <t xml:space="preserve">  в т.ч. новые деньги (прирост оборота), ₽</t>
        </is>
      </c>
      <c r="B17" s="33">
        <f>B16*incr_1</f>
        <v/>
      </c>
      <c r="C17" s="33">
        <f>C16*incr_1</f>
        <v/>
      </c>
      <c r="D17" s="33">
        <f>D16*incr_1</f>
        <v/>
      </c>
      <c r="E17" s="33">
        <f>E16*incr_1</f>
        <v/>
      </c>
      <c r="F17" s="33">
        <f>F16*incr_1</f>
        <v/>
      </c>
      <c r="G17" s="33">
        <f>G16*incr_1</f>
        <v/>
      </c>
      <c r="H17" s="33">
        <f>H16*incr_1</f>
        <v/>
      </c>
      <c r="I17" s="33">
        <f>I16*incr_1</f>
        <v/>
      </c>
      <c r="J17" s="33">
        <f>J16*incr_1</f>
        <v/>
      </c>
      <c r="K17" s="33">
        <f>K16*incr_1</f>
        <v/>
      </c>
      <c r="L17" s="33">
        <f>L16*incr_1</f>
        <v/>
      </c>
      <c r="M17" s="33">
        <f>M16*incr_1</f>
        <v/>
      </c>
      <c r="N17" s="33">
        <f>N16*incr_1</f>
        <v/>
      </c>
      <c r="O17" s="33">
        <f>O16*incr_1</f>
        <v/>
      </c>
      <c r="P17" s="33">
        <f>P16*incr_1</f>
        <v/>
      </c>
      <c r="Q17" s="33">
        <f>Q16*incr_1</f>
        <v/>
      </c>
      <c r="R17" s="33">
        <f>R16*incr_1</f>
        <v/>
      </c>
      <c r="S17" s="33">
        <f>S16*incr_1</f>
        <v/>
      </c>
      <c r="T17" s="33">
        <f>T16*incr_1</f>
        <v/>
      </c>
      <c r="U17" s="33">
        <f>U16*incr_1</f>
        <v/>
      </c>
      <c r="V17" s="33">
        <f>V16*incr_1</f>
        <v/>
      </c>
      <c r="W17" s="33">
        <f>W16*incr_1</f>
        <v/>
      </c>
      <c r="X17" s="33">
        <f>X16*incr_1</f>
        <v/>
      </c>
      <c r="Y17" s="33">
        <f>Y16*incr_1</f>
        <v/>
      </c>
    </row>
    <row r="18">
      <c r="A18" s="6" t="inlineStr">
        <is>
          <t xml:space="preserve">  в т.ч. перешло с МП, ₽</t>
        </is>
      </c>
      <c r="B18" s="33">
        <f>B16-B17</f>
        <v/>
      </c>
      <c r="C18" s="33">
        <f>C16-C17</f>
        <v/>
      </c>
      <c r="D18" s="33">
        <f>D16-D17</f>
        <v/>
      </c>
      <c r="E18" s="33">
        <f>E16-E17</f>
        <v/>
      </c>
      <c r="F18" s="33">
        <f>F16-F17</f>
        <v/>
      </c>
      <c r="G18" s="33">
        <f>G16-G17</f>
        <v/>
      </c>
      <c r="H18" s="33">
        <f>H16-H17</f>
        <v/>
      </c>
      <c r="I18" s="33">
        <f>I16-I17</f>
        <v/>
      </c>
      <c r="J18" s="33">
        <f>J16-J17</f>
        <v/>
      </c>
      <c r="K18" s="33">
        <f>K16-K17</f>
        <v/>
      </c>
      <c r="L18" s="33">
        <f>L16-L17</f>
        <v/>
      </c>
      <c r="M18" s="33">
        <f>M16-M17</f>
        <v/>
      </c>
      <c r="N18" s="33">
        <f>N16-N17</f>
        <v/>
      </c>
      <c r="O18" s="33">
        <f>O16-O17</f>
        <v/>
      </c>
      <c r="P18" s="33">
        <f>P16-P17</f>
        <v/>
      </c>
      <c r="Q18" s="33">
        <f>Q16-Q17</f>
        <v/>
      </c>
      <c r="R18" s="33">
        <f>R16-R17</f>
        <v/>
      </c>
      <c r="S18" s="33">
        <f>S16-S17</f>
        <v/>
      </c>
      <c r="T18" s="33">
        <f>T16-T17</f>
        <v/>
      </c>
      <c r="U18" s="33">
        <f>U16-U17</f>
        <v/>
      </c>
      <c r="V18" s="33">
        <f>V16-V17</f>
        <v/>
      </c>
      <c r="W18" s="33">
        <f>W16-W17</f>
        <v/>
      </c>
      <c r="X18" s="33">
        <f>X16-X17</f>
        <v/>
      </c>
      <c r="Y18" s="33">
        <f>Y16-Y17</f>
        <v/>
      </c>
    </row>
    <row r="19">
      <c r="A19" s="34" t="inlineStr">
        <is>
          <t>Доля сайта в общем обороте</t>
        </is>
      </c>
      <c r="B19" s="35">
        <f>B16/(mp_rev-B18+B16)</f>
        <v/>
      </c>
      <c r="C19" s="35">
        <f>C16/(mp_rev-C18+C16)</f>
        <v/>
      </c>
      <c r="D19" s="35">
        <f>D16/(mp_rev-D18+D16)</f>
        <v/>
      </c>
      <c r="E19" s="35">
        <f>E16/(mp_rev-E18+E16)</f>
        <v/>
      </c>
      <c r="F19" s="35">
        <f>F16/(mp_rev-F18+F16)</f>
        <v/>
      </c>
      <c r="G19" s="35">
        <f>G16/(mp_rev-G18+G16)</f>
        <v/>
      </c>
      <c r="H19" s="35">
        <f>H16/(mp_rev-H18+H16)</f>
        <v/>
      </c>
      <c r="I19" s="35">
        <f>I16/(mp_rev-I18+I16)</f>
        <v/>
      </c>
      <c r="J19" s="35">
        <f>J16/(mp_rev-J18+J16)</f>
        <v/>
      </c>
      <c r="K19" s="35">
        <f>K16/(mp_rev-K18+K16)</f>
        <v/>
      </c>
      <c r="L19" s="35">
        <f>L16/(mp_rev-L18+L16)</f>
        <v/>
      </c>
      <c r="M19" s="35">
        <f>M16/(mp_rev-M18+M16)</f>
        <v/>
      </c>
      <c r="N19" s="35">
        <f>N16/(mp_rev-N18+N16)</f>
        <v/>
      </c>
      <c r="O19" s="35">
        <f>O16/(mp_rev-O18+O16)</f>
        <v/>
      </c>
      <c r="P19" s="35">
        <f>P16/(mp_rev-P18+P16)</f>
        <v/>
      </c>
      <c r="Q19" s="35">
        <f>Q16/(mp_rev-Q18+Q16)</f>
        <v/>
      </c>
      <c r="R19" s="35">
        <f>R16/(mp_rev-R18+R16)</f>
        <v/>
      </c>
      <c r="S19" s="35">
        <f>S16/(mp_rev-S18+S16)</f>
        <v/>
      </c>
      <c r="T19" s="35">
        <f>T16/(mp_rev-T18+T16)</f>
        <v/>
      </c>
      <c r="U19" s="35">
        <f>U16/(mp_rev-U18+U16)</f>
        <v/>
      </c>
      <c r="V19" s="35">
        <f>V16/(mp_rev-V18+V16)</f>
        <v/>
      </c>
      <c r="W19" s="35">
        <f>W16/(mp_rev-W18+W16)</f>
        <v/>
      </c>
      <c r="X19" s="35">
        <f>X16/(mp_rev-X18+X16)</f>
        <v/>
      </c>
      <c r="Y19" s="35">
        <f>Y16/(mp_rev-Y18+Y16)</f>
        <v/>
      </c>
    </row>
    <row r="20">
      <c r="A20" s="6" t="inlineStr">
        <is>
          <t>Расходы сайта (без себестоимости), ₽</t>
        </is>
      </c>
      <c r="B20" s="33">
        <f>B16*acq+B14*(ship+pick)+B10*B15*crm_pct+B11*B15*brand_cost+ads_budget_1+platform</f>
        <v/>
      </c>
      <c r="C20" s="33">
        <f>C16*acq+C14*(ship+pick)+C10*C15*crm_pct+C11*C15*brand_cost+ads_budget_1+platform</f>
        <v/>
      </c>
      <c r="D20" s="33">
        <f>D16*acq+D14*(ship+pick)+D10*D15*crm_pct+D11*D15*brand_cost+ads_budget_1+platform</f>
        <v/>
      </c>
      <c r="E20" s="33">
        <f>E16*acq+E14*(ship+pick)+E10*E15*crm_pct+E11*E15*brand_cost+ads_budget_1+platform</f>
        <v/>
      </c>
      <c r="F20" s="33">
        <f>F16*acq+F14*(ship+pick)+F10*F15*crm_pct+F11*F15*brand_cost+ads_budget_1+platform</f>
        <v/>
      </c>
      <c r="G20" s="33">
        <f>G16*acq+G14*(ship+pick)+G10*G15*crm_pct+G11*G15*brand_cost+ads_budget_1+platform</f>
        <v/>
      </c>
      <c r="H20" s="33">
        <f>H16*acq+H14*(ship+pick)+H10*H15*crm_pct+H11*H15*brand_cost+ads_budget_1+platform</f>
        <v/>
      </c>
      <c r="I20" s="33">
        <f>I16*acq+I14*(ship+pick)+I10*I15*crm_pct+I11*I15*brand_cost+ads_budget_1+platform</f>
        <v/>
      </c>
      <c r="J20" s="33">
        <f>J16*acq+J14*(ship+pick)+J10*J15*crm_pct+J11*J15*brand_cost+ads_budget_1+platform</f>
        <v/>
      </c>
      <c r="K20" s="33">
        <f>K16*acq+K14*(ship+pick)+K10*K15*crm_pct+K11*K15*brand_cost+ads_budget_1+platform</f>
        <v/>
      </c>
      <c r="L20" s="33">
        <f>L16*acq+L14*(ship+pick)+L10*L15*crm_pct+L11*L15*brand_cost+ads_budget_1+platform</f>
        <v/>
      </c>
      <c r="M20" s="33">
        <f>M16*acq+M14*(ship+pick)+M10*M15*crm_pct+M11*M15*brand_cost+ads_budget_1+platform</f>
        <v/>
      </c>
      <c r="N20" s="33">
        <f>N16*acq+N14*(ship+pick)+N10*N15*crm_pct+N11*N15*brand_cost+ads_budget_1+platform</f>
        <v/>
      </c>
      <c r="O20" s="33">
        <f>O16*acq+O14*(ship+pick)+O10*O15*crm_pct+O11*O15*brand_cost+ads_budget_1+platform</f>
        <v/>
      </c>
      <c r="P20" s="33">
        <f>P16*acq+P14*(ship+pick)+P10*P15*crm_pct+P11*P15*brand_cost+ads_budget_1+platform</f>
        <v/>
      </c>
      <c r="Q20" s="33">
        <f>Q16*acq+Q14*(ship+pick)+Q10*Q15*crm_pct+Q11*Q15*brand_cost+ads_budget_1+platform</f>
        <v/>
      </c>
      <c r="R20" s="33">
        <f>R16*acq+R14*(ship+pick)+R10*R15*crm_pct+R11*R15*brand_cost+ads_budget_1+platform</f>
        <v/>
      </c>
      <c r="S20" s="33">
        <f>S16*acq+S14*(ship+pick)+S10*S15*crm_pct+S11*S15*brand_cost+ads_budget_1+platform</f>
        <v/>
      </c>
      <c r="T20" s="33">
        <f>T16*acq+T14*(ship+pick)+T10*T15*crm_pct+T11*T15*brand_cost+ads_budget_1+platform</f>
        <v/>
      </c>
      <c r="U20" s="33">
        <f>U16*acq+U14*(ship+pick)+U10*U15*crm_pct+U11*U15*brand_cost+ads_budget_1+platform</f>
        <v/>
      </c>
      <c r="V20" s="33">
        <f>V16*acq+V14*(ship+pick)+V10*V15*crm_pct+V11*V15*brand_cost+ads_budget_1+platform</f>
        <v/>
      </c>
      <c r="W20" s="33">
        <f>W16*acq+W14*(ship+pick)+W10*W15*crm_pct+W11*W15*brand_cost+ads_budget_1+platform</f>
        <v/>
      </c>
      <c r="X20" s="33">
        <f>X16*acq+X14*(ship+pick)+X10*X15*crm_pct+X11*X15*brand_cost+ads_budget_1+platform</f>
        <v/>
      </c>
      <c r="Y20" s="33">
        <f>Y16*acq+Y14*(ship+pick)+Y10*Y15*crm_pct+Y11*Y15*brand_cost+ads_budget_1+platform</f>
        <v/>
      </c>
    </row>
    <row r="21">
      <c r="A21" s="6" t="inlineStr">
        <is>
          <t>Расходы сайта, % выручки</t>
        </is>
      </c>
      <c r="B21" s="30">
        <f>IF(B16=0,0,B20/B16)</f>
        <v/>
      </c>
      <c r="C21" s="30">
        <f>IF(C16=0,0,C20/C16)</f>
        <v/>
      </c>
      <c r="D21" s="30">
        <f>IF(D16=0,0,D20/D16)</f>
        <v/>
      </c>
      <c r="E21" s="30">
        <f>IF(E16=0,0,E20/E16)</f>
        <v/>
      </c>
      <c r="F21" s="30">
        <f>IF(F16=0,0,F20/F16)</f>
        <v/>
      </c>
      <c r="G21" s="30">
        <f>IF(G16=0,0,G20/G16)</f>
        <v/>
      </c>
      <c r="H21" s="30">
        <f>IF(H16=0,0,H20/H16)</f>
        <v/>
      </c>
      <c r="I21" s="30">
        <f>IF(I16=0,0,I20/I16)</f>
        <v/>
      </c>
      <c r="J21" s="30">
        <f>IF(J16=0,0,J20/J16)</f>
        <v/>
      </c>
      <c r="K21" s="30">
        <f>IF(K16=0,0,K20/K16)</f>
        <v/>
      </c>
      <c r="L21" s="30">
        <f>IF(L16=0,0,L20/L16)</f>
        <v/>
      </c>
      <c r="M21" s="30">
        <f>IF(M16=0,0,M20/M16)</f>
        <v/>
      </c>
      <c r="N21" s="30">
        <f>IF(N16=0,0,N20/N16)</f>
        <v/>
      </c>
      <c r="O21" s="30">
        <f>IF(O16=0,0,O20/O16)</f>
        <v/>
      </c>
      <c r="P21" s="30">
        <f>IF(P16=0,0,P20/P16)</f>
        <v/>
      </c>
      <c r="Q21" s="30">
        <f>IF(Q16=0,0,Q20/Q16)</f>
        <v/>
      </c>
      <c r="R21" s="30">
        <f>IF(R16=0,0,R20/R16)</f>
        <v/>
      </c>
      <c r="S21" s="30">
        <f>IF(S16=0,0,S20/S16)</f>
        <v/>
      </c>
      <c r="T21" s="30">
        <f>IF(T16=0,0,T20/T16)</f>
        <v/>
      </c>
      <c r="U21" s="30">
        <f>IF(U16=0,0,U20/U16)</f>
        <v/>
      </c>
      <c r="V21" s="30">
        <f>IF(V16=0,0,V20/V16)</f>
        <v/>
      </c>
      <c r="W21" s="30">
        <f>IF(W16=0,0,W20/W16)</f>
        <v/>
      </c>
      <c r="X21" s="30">
        <f>IF(X16=0,0,X20/X16)</f>
        <v/>
      </c>
      <c r="Y21" s="30">
        <f>IF(Y16=0,0,Y20/Y16)</f>
        <v/>
      </c>
    </row>
    <row r="22">
      <c r="A22" s="6" t="inlineStr">
        <is>
          <t>Наши услуги, ₽</t>
        </is>
      </c>
      <c r="B22" s="33">
        <f>svc_setup+svc_month+B16*svc_pct</f>
        <v/>
      </c>
      <c r="C22" s="33">
        <f>svc_month+C16*svc_pct</f>
        <v/>
      </c>
      <c r="D22" s="33">
        <f>svc_month+D16*svc_pct</f>
        <v/>
      </c>
      <c r="E22" s="33">
        <f>svc_month+E16*svc_pct</f>
        <v/>
      </c>
      <c r="F22" s="33">
        <f>svc_month+F16*svc_pct</f>
        <v/>
      </c>
      <c r="G22" s="33">
        <f>svc_month+G16*svc_pct</f>
        <v/>
      </c>
      <c r="H22" s="33">
        <f>svc_month+H16*svc_pct</f>
        <v/>
      </c>
      <c r="I22" s="33">
        <f>svc_month+I16*svc_pct</f>
        <v/>
      </c>
      <c r="J22" s="33">
        <f>svc_month+J16*svc_pct</f>
        <v/>
      </c>
      <c r="K22" s="33">
        <f>svc_month+K16*svc_pct</f>
        <v/>
      </c>
      <c r="L22" s="33">
        <f>svc_month+L16*svc_pct</f>
        <v/>
      </c>
      <c r="M22" s="33">
        <f>svc_month+M16*svc_pct</f>
        <v/>
      </c>
      <c r="N22" s="33">
        <f>svc_month+N16*svc_pct</f>
        <v/>
      </c>
      <c r="O22" s="33">
        <f>svc_month+O16*svc_pct</f>
        <v/>
      </c>
      <c r="P22" s="33">
        <f>svc_month+P16*svc_pct</f>
        <v/>
      </c>
      <c r="Q22" s="33">
        <f>svc_month+Q16*svc_pct</f>
        <v/>
      </c>
      <c r="R22" s="33">
        <f>svc_month+R16*svc_pct</f>
        <v/>
      </c>
      <c r="S22" s="33">
        <f>svc_month+S16*svc_pct</f>
        <v/>
      </c>
      <c r="T22" s="33">
        <f>svc_month+T16*svc_pct</f>
        <v/>
      </c>
      <c r="U22" s="33">
        <f>svc_month+U16*svc_pct</f>
        <v/>
      </c>
      <c r="V22" s="33">
        <f>svc_month+V16*svc_pct</f>
        <v/>
      </c>
      <c r="W22" s="33">
        <f>svc_month+W16*svc_pct</f>
        <v/>
      </c>
      <c r="X22" s="33">
        <f>svc_month+X16*svc_pct</f>
        <v/>
      </c>
      <c r="Y22" s="33">
        <f>svc_month+Y16*svc_pct</f>
        <v/>
      </c>
    </row>
    <row r="23">
      <c r="A23" s="6" t="inlineStr">
        <is>
          <t>Маржа сайта после себестоимости и расходов, ₽</t>
        </is>
      </c>
      <c r="B23" s="33">
        <f>B16*(1-cogs)-B20-B22</f>
        <v/>
      </c>
      <c r="C23" s="33">
        <f>C16*(1-cogs)-C20-C22</f>
        <v/>
      </c>
      <c r="D23" s="33">
        <f>D16*(1-cogs)-D20-D22</f>
        <v/>
      </c>
      <c r="E23" s="33">
        <f>E16*(1-cogs)-E20-E22</f>
        <v/>
      </c>
      <c r="F23" s="33">
        <f>F16*(1-cogs)-F20-F22</f>
        <v/>
      </c>
      <c r="G23" s="33">
        <f>G16*(1-cogs)-G20-G22</f>
        <v/>
      </c>
      <c r="H23" s="33">
        <f>H16*(1-cogs)-H20-H22</f>
        <v/>
      </c>
      <c r="I23" s="33">
        <f>I16*(1-cogs)-I20-I22</f>
        <v/>
      </c>
      <c r="J23" s="33">
        <f>J16*(1-cogs)-J20-J22</f>
        <v/>
      </c>
      <c r="K23" s="33">
        <f>K16*(1-cogs)-K20-K22</f>
        <v/>
      </c>
      <c r="L23" s="33">
        <f>L16*(1-cogs)-L20-L22</f>
        <v/>
      </c>
      <c r="M23" s="33">
        <f>M16*(1-cogs)-M20-M22</f>
        <v/>
      </c>
      <c r="N23" s="33">
        <f>N16*(1-cogs)-N20-N22</f>
        <v/>
      </c>
      <c r="O23" s="33">
        <f>O16*(1-cogs)-O20-O22</f>
        <v/>
      </c>
      <c r="P23" s="33">
        <f>P16*(1-cogs)-P20-P22</f>
        <v/>
      </c>
      <c r="Q23" s="33">
        <f>Q16*(1-cogs)-Q20-Q22</f>
        <v/>
      </c>
      <c r="R23" s="33">
        <f>R16*(1-cogs)-R20-R22</f>
        <v/>
      </c>
      <c r="S23" s="33">
        <f>S16*(1-cogs)-S20-S22</f>
        <v/>
      </c>
      <c r="T23" s="33">
        <f>T16*(1-cogs)-T20-T22</f>
        <v/>
      </c>
      <c r="U23" s="33">
        <f>U16*(1-cogs)-U20-U22</f>
        <v/>
      </c>
      <c r="V23" s="33">
        <f>V16*(1-cogs)-V20-V22</f>
        <v/>
      </c>
      <c r="W23" s="33">
        <f>W16*(1-cogs)-W20-W22</f>
        <v/>
      </c>
      <c r="X23" s="33">
        <f>X16*(1-cogs)-X20-X22</f>
        <v/>
      </c>
      <c r="Y23" s="33">
        <f>Y16*(1-cogs)-Y20-Y22</f>
        <v/>
      </c>
    </row>
    <row r="24">
      <c r="A24" s="6" t="inlineStr">
        <is>
          <t>Маржа, которую эти заказы дали бы на МП, ₽</t>
        </is>
      </c>
      <c r="B24" s="33">
        <f>B18*(1-cogs-mp_take)</f>
        <v/>
      </c>
      <c r="C24" s="33">
        <f>C18*(1-cogs-mp_take)</f>
        <v/>
      </c>
      <c r="D24" s="33">
        <f>D18*(1-cogs-mp_take)</f>
        <v/>
      </c>
      <c r="E24" s="33">
        <f>E18*(1-cogs-mp_take)</f>
        <v/>
      </c>
      <c r="F24" s="33">
        <f>F18*(1-cogs-mp_take)</f>
        <v/>
      </c>
      <c r="G24" s="33">
        <f>G18*(1-cogs-mp_take)</f>
        <v/>
      </c>
      <c r="H24" s="33">
        <f>H18*(1-cogs-mp_take)</f>
        <v/>
      </c>
      <c r="I24" s="33">
        <f>I18*(1-cogs-mp_take)</f>
        <v/>
      </c>
      <c r="J24" s="33">
        <f>J18*(1-cogs-mp_take)</f>
        <v/>
      </c>
      <c r="K24" s="33">
        <f>K18*(1-cogs-mp_take)</f>
        <v/>
      </c>
      <c r="L24" s="33">
        <f>L18*(1-cogs-mp_take)</f>
        <v/>
      </c>
      <c r="M24" s="33">
        <f>M18*(1-cogs-mp_take)</f>
        <v/>
      </c>
      <c r="N24" s="33">
        <f>N18*(1-cogs-mp_take)</f>
        <v/>
      </c>
      <c r="O24" s="33">
        <f>O18*(1-cogs-mp_take)</f>
        <v/>
      </c>
      <c r="P24" s="33">
        <f>P18*(1-cogs-mp_take)</f>
        <v/>
      </c>
      <c r="Q24" s="33">
        <f>Q18*(1-cogs-mp_take)</f>
        <v/>
      </c>
      <c r="R24" s="33">
        <f>R18*(1-cogs-mp_take)</f>
        <v/>
      </c>
      <c r="S24" s="33">
        <f>S18*(1-cogs-mp_take)</f>
        <v/>
      </c>
      <c r="T24" s="33">
        <f>T18*(1-cogs-mp_take)</f>
        <v/>
      </c>
      <c r="U24" s="33">
        <f>U18*(1-cogs-mp_take)</f>
        <v/>
      </c>
      <c r="V24" s="33">
        <f>V18*(1-cogs-mp_take)</f>
        <v/>
      </c>
      <c r="W24" s="33">
        <f>W18*(1-cogs-mp_take)</f>
        <v/>
      </c>
      <c r="X24" s="33">
        <f>X18*(1-cogs-mp_take)</f>
        <v/>
      </c>
      <c r="Y24" s="33">
        <f>Y18*(1-cogs-mp_take)</f>
        <v/>
      </c>
    </row>
    <row r="25">
      <c r="A25" s="34" t="inlineStr">
        <is>
          <t>Чистый эффект для селлера, ₽</t>
        </is>
      </c>
      <c r="B25" s="7">
        <f>B23-B24</f>
        <v/>
      </c>
      <c r="C25" s="7">
        <f>C23-C24</f>
        <v/>
      </c>
      <c r="D25" s="7">
        <f>D23-D24</f>
        <v/>
      </c>
      <c r="E25" s="7">
        <f>E23-E24</f>
        <v/>
      </c>
      <c r="F25" s="7">
        <f>F23-F24</f>
        <v/>
      </c>
      <c r="G25" s="7">
        <f>G23-G24</f>
        <v/>
      </c>
      <c r="H25" s="7">
        <f>H23-H24</f>
        <v/>
      </c>
      <c r="I25" s="7">
        <f>I23-I24</f>
        <v/>
      </c>
      <c r="J25" s="7">
        <f>J23-J24</f>
        <v/>
      </c>
      <c r="K25" s="7">
        <f>K23-K24</f>
        <v/>
      </c>
      <c r="L25" s="7">
        <f>L23-L24</f>
        <v/>
      </c>
      <c r="M25" s="7">
        <f>M23-M24</f>
        <v/>
      </c>
      <c r="N25" s="7">
        <f>N23-N24</f>
        <v/>
      </c>
      <c r="O25" s="7">
        <f>O23-O24</f>
        <v/>
      </c>
      <c r="P25" s="7">
        <f>P23-P24</f>
        <v/>
      </c>
      <c r="Q25" s="7">
        <f>Q23-Q24</f>
        <v/>
      </c>
      <c r="R25" s="7">
        <f>R23-R24</f>
        <v/>
      </c>
      <c r="S25" s="7">
        <f>S23-S24</f>
        <v/>
      </c>
      <c r="T25" s="7">
        <f>T23-T24</f>
        <v/>
      </c>
      <c r="U25" s="7">
        <f>U23-U24</f>
        <v/>
      </c>
      <c r="V25" s="7">
        <f>V23-V24</f>
        <v/>
      </c>
      <c r="W25" s="7">
        <f>W23-W24</f>
        <v/>
      </c>
      <c r="X25" s="7">
        <f>X23-X24</f>
        <v/>
      </c>
      <c r="Y25" s="7">
        <f>Y23-Y24</f>
        <v/>
      </c>
    </row>
    <row r="26">
      <c r="A26" s="6" t="inlineStr">
        <is>
          <t>Нарастающим итогом, ₽</t>
        </is>
      </c>
      <c r="B26" s="33">
        <f>B25</f>
        <v/>
      </c>
      <c r="C26" s="33">
        <f>B26+C25</f>
        <v/>
      </c>
      <c r="D26" s="33">
        <f>C26+D25</f>
        <v/>
      </c>
      <c r="E26" s="33">
        <f>D26+E25</f>
        <v/>
      </c>
      <c r="F26" s="33">
        <f>E26+F25</f>
        <v/>
      </c>
      <c r="G26" s="33">
        <f>F26+G25</f>
        <v/>
      </c>
      <c r="H26" s="33">
        <f>G26+H25</f>
        <v/>
      </c>
      <c r="I26" s="33">
        <f>H26+I25</f>
        <v/>
      </c>
      <c r="J26" s="33">
        <f>I26+J25</f>
        <v/>
      </c>
      <c r="K26" s="33">
        <f>J26+K25</f>
        <v/>
      </c>
      <c r="L26" s="33">
        <f>K26+L25</f>
        <v/>
      </c>
      <c r="M26" s="33">
        <f>L26+M25</f>
        <v/>
      </c>
      <c r="N26" s="33">
        <f>M26+N25</f>
        <v/>
      </c>
      <c r="O26" s="33">
        <f>N26+O25</f>
        <v/>
      </c>
      <c r="P26" s="33">
        <f>O26+P25</f>
        <v/>
      </c>
      <c r="Q26" s="33">
        <f>P26+Q25</f>
        <v/>
      </c>
      <c r="R26" s="33">
        <f>Q26+R25</f>
        <v/>
      </c>
      <c r="S26" s="33">
        <f>R26+S25</f>
        <v/>
      </c>
      <c r="T26" s="33">
        <f>S26+T25</f>
        <v/>
      </c>
      <c r="U26" s="33">
        <f>T26+U25</f>
        <v/>
      </c>
      <c r="V26" s="33">
        <f>U26+V25</f>
        <v/>
      </c>
      <c r="W26" s="33">
        <f>V26+W25</f>
        <v/>
      </c>
      <c r="X26" s="33">
        <f>W26+X25</f>
        <v/>
      </c>
      <c r="Y26" s="33">
        <f>X26+Y25</f>
        <v/>
      </c>
    </row>
    <row r="27">
      <c r="A27" s="6" t="inlineStr">
        <is>
          <t>Окупилось (1 = да)</t>
        </is>
      </c>
      <c r="B27" s="36">
        <f>IF(B26&gt;0,1,0)</f>
        <v/>
      </c>
      <c r="C27" s="36">
        <f>IF(C26&gt;0,1,0)</f>
        <v/>
      </c>
      <c r="D27" s="36">
        <f>IF(D26&gt;0,1,0)</f>
        <v/>
      </c>
      <c r="E27" s="36">
        <f>IF(E26&gt;0,1,0)</f>
        <v/>
      </c>
      <c r="F27" s="36">
        <f>IF(F26&gt;0,1,0)</f>
        <v/>
      </c>
      <c r="G27" s="36">
        <f>IF(G26&gt;0,1,0)</f>
        <v/>
      </c>
      <c r="H27" s="36">
        <f>IF(H26&gt;0,1,0)</f>
        <v/>
      </c>
      <c r="I27" s="36">
        <f>IF(I26&gt;0,1,0)</f>
        <v/>
      </c>
      <c r="J27" s="36">
        <f>IF(J26&gt;0,1,0)</f>
        <v/>
      </c>
      <c r="K27" s="36">
        <f>IF(K26&gt;0,1,0)</f>
        <v/>
      </c>
      <c r="L27" s="36">
        <f>IF(L26&gt;0,1,0)</f>
        <v/>
      </c>
      <c r="M27" s="36">
        <f>IF(M26&gt;0,1,0)</f>
        <v/>
      </c>
      <c r="N27" s="36">
        <f>IF(N26&gt;0,1,0)</f>
        <v/>
      </c>
      <c r="O27" s="36">
        <f>IF(O26&gt;0,1,0)</f>
        <v/>
      </c>
      <c r="P27" s="36">
        <f>IF(P26&gt;0,1,0)</f>
        <v/>
      </c>
      <c r="Q27" s="36">
        <f>IF(Q26&gt;0,1,0)</f>
        <v/>
      </c>
      <c r="R27" s="36">
        <f>IF(R26&gt;0,1,0)</f>
        <v/>
      </c>
      <c r="S27" s="36">
        <f>IF(S26&gt;0,1,0)</f>
        <v/>
      </c>
      <c r="T27" s="36">
        <f>IF(T26&gt;0,1,0)</f>
        <v/>
      </c>
      <c r="U27" s="36">
        <f>IF(U26&gt;0,1,0)</f>
        <v/>
      </c>
      <c r="V27" s="36">
        <f>IF(V26&gt;0,1,0)</f>
        <v/>
      </c>
      <c r="W27" s="36">
        <f>IF(W26&gt;0,1,0)</f>
        <v/>
      </c>
      <c r="X27" s="36">
        <f>IF(X26&gt;0,1,0)</f>
        <v/>
      </c>
      <c r="Y27" s="36">
        <f>IF(Y26&gt;0,1,0)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4" t="inlineStr">
        <is>
          <t>Сценарий: Базовый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28" t="inlineStr">
        <is>
          <t>Месяц</t>
        </is>
      </c>
      <c r="B30" s="29" t="n">
        <v>1</v>
      </c>
      <c r="C30" s="29" t="n">
        <v>2</v>
      </c>
      <c r="D30" s="29" t="n">
        <v>3</v>
      </c>
      <c r="E30" s="29" t="n">
        <v>4</v>
      </c>
      <c r="F30" s="29" t="n">
        <v>5</v>
      </c>
      <c r="G30" s="29" t="n">
        <v>6</v>
      </c>
      <c r="H30" s="29" t="n">
        <v>7</v>
      </c>
      <c r="I30" s="29" t="n">
        <v>8</v>
      </c>
      <c r="J30" s="29" t="n">
        <v>9</v>
      </c>
      <c r="K30" s="29" t="n">
        <v>10</v>
      </c>
      <c r="L30" s="29" t="n">
        <v>11</v>
      </c>
      <c r="M30" s="29" t="n">
        <v>12</v>
      </c>
      <c r="N30" s="29" t="n">
        <v>13</v>
      </c>
      <c r="O30" s="29" t="n">
        <v>14</v>
      </c>
      <c r="P30" s="29" t="n">
        <v>15</v>
      </c>
      <c r="Q30" s="29" t="n">
        <v>16</v>
      </c>
      <c r="R30" s="29" t="n">
        <v>17</v>
      </c>
      <c r="S30" s="29" t="n">
        <v>18</v>
      </c>
      <c r="T30" s="29" t="n">
        <v>19</v>
      </c>
      <c r="U30" s="29" t="n">
        <v>20</v>
      </c>
      <c r="V30" s="29" t="n">
        <v>21</v>
      </c>
      <c r="W30" s="29" t="n">
        <v>22</v>
      </c>
      <c r="X30" s="29" t="n">
        <v>23</v>
      </c>
      <c r="Y30" s="29" t="n">
        <v>24</v>
      </c>
    </row>
    <row r="31">
      <c r="A31" s="6" t="inlineStr">
        <is>
          <t>Разгон (доля полной мощности)</t>
        </is>
      </c>
      <c r="B31" s="30">
        <f>MIN(1,B30/ramp_2)</f>
        <v/>
      </c>
      <c r="C31" s="30">
        <f>MIN(1,C30/ramp_2)</f>
        <v/>
      </c>
      <c r="D31" s="30">
        <f>MIN(1,D30/ramp_2)</f>
        <v/>
      </c>
      <c r="E31" s="30">
        <f>MIN(1,E30/ramp_2)</f>
        <v/>
      </c>
      <c r="F31" s="30">
        <f>MIN(1,F30/ramp_2)</f>
        <v/>
      </c>
      <c r="G31" s="30">
        <f>MIN(1,G30/ramp_2)</f>
        <v/>
      </c>
      <c r="H31" s="30">
        <f>MIN(1,H30/ramp_2)</f>
        <v/>
      </c>
      <c r="I31" s="30">
        <f>MIN(1,I30/ramp_2)</f>
        <v/>
      </c>
      <c r="J31" s="30">
        <f>MIN(1,J30/ramp_2)</f>
        <v/>
      </c>
      <c r="K31" s="30">
        <f>MIN(1,K30/ramp_2)</f>
        <v/>
      </c>
      <c r="L31" s="30">
        <f>MIN(1,L30/ramp_2)</f>
        <v/>
      </c>
      <c r="M31" s="30">
        <f>MIN(1,M30/ramp_2)</f>
        <v/>
      </c>
      <c r="N31" s="30">
        <f>MIN(1,N30/ramp_2)</f>
        <v/>
      </c>
      <c r="O31" s="30">
        <f>MIN(1,O30/ramp_2)</f>
        <v/>
      </c>
      <c r="P31" s="30">
        <f>MIN(1,P30/ramp_2)</f>
        <v/>
      </c>
      <c r="Q31" s="30">
        <f>MIN(1,Q30/ramp_2)</f>
        <v/>
      </c>
      <c r="R31" s="30">
        <f>MIN(1,R30/ramp_2)</f>
        <v/>
      </c>
      <c r="S31" s="30">
        <f>MIN(1,S30/ramp_2)</f>
        <v/>
      </c>
      <c r="T31" s="30">
        <f>MIN(1,T30/ramp_2)</f>
        <v/>
      </c>
      <c r="U31" s="30">
        <f>MIN(1,U30/ramp_2)</f>
        <v/>
      </c>
      <c r="V31" s="30">
        <f>MIN(1,V30/ramp_2)</f>
        <v/>
      </c>
      <c r="W31" s="30">
        <f>MIN(1,W30/ramp_2)</f>
        <v/>
      </c>
      <c r="X31" s="30">
        <f>MIN(1,X30/ramp_2)</f>
        <v/>
      </c>
      <c r="Y31" s="30">
        <f>MIN(1,Y30/ramp_2)</f>
        <v/>
      </c>
    </row>
    <row r="32">
      <c r="A32" s="6" t="inlineStr">
        <is>
          <t>Заказов на МП в месяц</t>
        </is>
      </c>
      <c r="B32" s="31">
        <f>mp_rev/mp_aov</f>
        <v/>
      </c>
      <c r="C32" s="31">
        <f>mp_rev/mp_aov</f>
        <v/>
      </c>
      <c r="D32" s="31">
        <f>mp_rev/mp_aov</f>
        <v/>
      </c>
      <c r="E32" s="31">
        <f>mp_rev/mp_aov</f>
        <v/>
      </c>
      <c r="F32" s="31">
        <f>mp_rev/mp_aov</f>
        <v/>
      </c>
      <c r="G32" s="31">
        <f>mp_rev/mp_aov</f>
        <v/>
      </c>
      <c r="H32" s="31">
        <f>mp_rev/mp_aov</f>
        <v/>
      </c>
      <c r="I32" s="31">
        <f>mp_rev/mp_aov</f>
        <v/>
      </c>
      <c r="J32" s="31">
        <f>mp_rev/mp_aov</f>
        <v/>
      </c>
      <c r="K32" s="31">
        <f>mp_rev/mp_aov</f>
        <v/>
      </c>
      <c r="L32" s="31">
        <f>mp_rev/mp_aov</f>
        <v/>
      </c>
      <c r="M32" s="31">
        <f>mp_rev/mp_aov</f>
        <v/>
      </c>
      <c r="N32" s="31">
        <f>mp_rev/mp_aov</f>
        <v/>
      </c>
      <c r="O32" s="31">
        <f>mp_rev/mp_aov</f>
        <v/>
      </c>
      <c r="P32" s="31">
        <f>mp_rev/mp_aov</f>
        <v/>
      </c>
      <c r="Q32" s="31">
        <f>mp_rev/mp_aov</f>
        <v/>
      </c>
      <c r="R32" s="31">
        <f>mp_rev/mp_aov</f>
        <v/>
      </c>
      <c r="S32" s="31">
        <f>mp_rev/mp_aov</f>
        <v/>
      </c>
      <c r="T32" s="31">
        <f>mp_rev/mp_aov</f>
        <v/>
      </c>
      <c r="U32" s="31">
        <f>mp_rev/mp_aov</f>
        <v/>
      </c>
      <c r="V32" s="31">
        <f>mp_rev/mp_aov</f>
        <v/>
      </c>
      <c r="W32" s="31">
        <f>mp_rev/mp_aov</f>
        <v/>
      </c>
      <c r="X32" s="31">
        <f>mp_rev/mp_aov</f>
        <v/>
      </c>
      <c r="Y32" s="31">
        <f>mp_rev/mp_aov</f>
        <v/>
      </c>
    </row>
    <row r="33">
      <c r="A33" s="6" t="inlineStr">
        <is>
          <t>Новых людей в базе (с МП + новые покупатели сайта)</t>
        </is>
      </c>
      <c r="B33" s="31">
        <f>B32*conv_base_2*B31+B36+B37+B38</f>
        <v/>
      </c>
      <c r="C33" s="31">
        <f>C32*conv_base_2*C31+C36+C37+C38</f>
        <v/>
      </c>
      <c r="D33" s="31">
        <f>D32*conv_base_2*D31+D36+D37+D38</f>
        <v/>
      </c>
      <c r="E33" s="31">
        <f>E32*conv_base_2*E31+E36+E37+E38</f>
        <v/>
      </c>
      <c r="F33" s="31">
        <f>F32*conv_base_2*F31+F36+F37+F38</f>
        <v/>
      </c>
      <c r="G33" s="31">
        <f>G32*conv_base_2*G31+G36+G37+G38</f>
        <v/>
      </c>
      <c r="H33" s="31">
        <f>H32*conv_base_2*H31+H36+H37+H38</f>
        <v/>
      </c>
      <c r="I33" s="31">
        <f>I32*conv_base_2*I31+I36+I37+I38</f>
        <v/>
      </c>
      <c r="J33" s="31">
        <f>J32*conv_base_2*J31+J36+J37+J38</f>
        <v/>
      </c>
      <c r="K33" s="31">
        <f>K32*conv_base_2*K31+K36+K37+K38</f>
        <v/>
      </c>
      <c r="L33" s="31">
        <f>L32*conv_base_2*L31+L36+L37+L38</f>
        <v/>
      </c>
      <c r="M33" s="31">
        <f>M32*conv_base_2*M31+M36+M37+M38</f>
        <v/>
      </c>
      <c r="N33" s="31">
        <f>N32*conv_base_2*N31+N36+N37+N38</f>
        <v/>
      </c>
      <c r="O33" s="31">
        <f>O32*conv_base_2*O31+O36+O37+O38</f>
        <v/>
      </c>
      <c r="P33" s="31">
        <f>P32*conv_base_2*P31+P36+P37+P38</f>
        <v/>
      </c>
      <c r="Q33" s="31">
        <f>Q32*conv_base_2*Q31+Q36+Q37+Q38</f>
        <v/>
      </c>
      <c r="R33" s="31">
        <f>R32*conv_base_2*R31+R36+R37+R38</f>
        <v/>
      </c>
      <c r="S33" s="31">
        <f>S32*conv_base_2*S31+S36+S37+S38</f>
        <v/>
      </c>
      <c r="T33" s="31">
        <f>T32*conv_base_2*T31+T36+T37+T38</f>
        <v/>
      </c>
      <c r="U33" s="31">
        <f>U32*conv_base_2*U31+U36+U37+U38</f>
        <v/>
      </c>
      <c r="V33" s="31">
        <f>V32*conv_base_2*V31+V36+V37+V38</f>
        <v/>
      </c>
      <c r="W33" s="31">
        <f>W32*conv_base_2*W31+W36+W37+W38</f>
        <v/>
      </c>
      <c r="X33" s="31">
        <f>X32*conv_base_2*X31+X36+X37+X38</f>
        <v/>
      </c>
      <c r="Y33" s="31">
        <f>Y32*conv_base_2*Y31+Y36+Y37+Y38</f>
        <v/>
      </c>
    </row>
    <row r="34">
      <c r="A34" s="6" t="inlineStr">
        <is>
          <t>База на конец месяца</t>
        </is>
      </c>
      <c r="B34" s="31">
        <f>B33</f>
        <v/>
      </c>
      <c r="C34" s="31">
        <f>B34*(1-churn_2)+C33</f>
        <v/>
      </c>
      <c r="D34" s="31">
        <f>C34*(1-churn_2)+D33</f>
        <v/>
      </c>
      <c r="E34" s="31">
        <f>D34*(1-churn_2)+E33</f>
        <v/>
      </c>
      <c r="F34" s="31">
        <f>E34*(1-churn_2)+F33</f>
        <v/>
      </c>
      <c r="G34" s="31">
        <f>F34*(1-churn_2)+G33</f>
        <v/>
      </c>
      <c r="H34" s="31">
        <f>G34*(1-churn_2)+H33</f>
        <v/>
      </c>
      <c r="I34" s="31">
        <f>H34*(1-churn_2)+I33</f>
        <v/>
      </c>
      <c r="J34" s="31">
        <f>I34*(1-churn_2)+J33</f>
        <v/>
      </c>
      <c r="K34" s="31">
        <f>J34*(1-churn_2)+K33</f>
        <v/>
      </c>
      <c r="L34" s="31">
        <f>K34*(1-churn_2)+L33</f>
        <v/>
      </c>
      <c r="M34" s="31">
        <f>L34*(1-churn_2)+M33</f>
        <v/>
      </c>
      <c r="N34" s="31">
        <f>M34*(1-churn_2)+N33</f>
        <v/>
      </c>
      <c r="O34" s="31">
        <f>N34*(1-churn_2)+O33</f>
        <v/>
      </c>
      <c r="P34" s="31">
        <f>O34*(1-churn_2)+P33</f>
        <v/>
      </c>
      <c r="Q34" s="31">
        <f>P34*(1-churn_2)+Q33</f>
        <v/>
      </c>
      <c r="R34" s="31">
        <f>Q34*(1-churn_2)+R33</f>
        <v/>
      </c>
      <c r="S34" s="31">
        <f>R34*(1-churn_2)+S33</f>
        <v/>
      </c>
      <c r="T34" s="31">
        <f>S34*(1-churn_2)+T33</f>
        <v/>
      </c>
      <c r="U34" s="31">
        <f>T34*(1-churn_2)+U33</f>
        <v/>
      </c>
      <c r="V34" s="31">
        <f>U34*(1-churn_2)+V33</f>
        <v/>
      </c>
      <c r="W34" s="31">
        <f>V34*(1-churn_2)+W33</f>
        <v/>
      </c>
      <c r="X34" s="31">
        <f>W34*(1-churn_2)+X33</f>
        <v/>
      </c>
      <c r="Y34" s="31">
        <f>X34*(1-churn_2)+Y33</f>
        <v/>
      </c>
    </row>
    <row r="35">
      <c r="A35" s="6" t="inlineStr">
        <is>
          <t>Заказы сайта: повторные из базы</t>
        </is>
      </c>
      <c r="B35" s="32">
        <f>0*freq/12*base_site_2</f>
        <v/>
      </c>
      <c r="C35" s="32">
        <f>B34*freq/12*base_site_2</f>
        <v/>
      </c>
      <c r="D35" s="32">
        <f>C34*freq/12*base_site_2</f>
        <v/>
      </c>
      <c r="E35" s="32">
        <f>D34*freq/12*base_site_2</f>
        <v/>
      </c>
      <c r="F35" s="32">
        <f>E34*freq/12*base_site_2</f>
        <v/>
      </c>
      <c r="G35" s="32">
        <f>F34*freq/12*base_site_2</f>
        <v/>
      </c>
      <c r="H35" s="32">
        <f>G34*freq/12*base_site_2</f>
        <v/>
      </c>
      <c r="I35" s="32">
        <f>H34*freq/12*base_site_2</f>
        <v/>
      </c>
      <c r="J35" s="32">
        <f>I34*freq/12*base_site_2</f>
        <v/>
      </c>
      <c r="K35" s="32">
        <f>J34*freq/12*base_site_2</f>
        <v/>
      </c>
      <c r="L35" s="32">
        <f>K34*freq/12*base_site_2</f>
        <v/>
      </c>
      <c r="M35" s="32">
        <f>L34*freq/12*base_site_2</f>
        <v/>
      </c>
      <c r="N35" s="32">
        <f>M34*freq/12*base_site_2</f>
        <v/>
      </c>
      <c r="O35" s="32">
        <f>N34*freq/12*base_site_2</f>
        <v/>
      </c>
      <c r="P35" s="32">
        <f>O34*freq/12*base_site_2</f>
        <v/>
      </c>
      <c r="Q35" s="32">
        <f>P34*freq/12*base_site_2</f>
        <v/>
      </c>
      <c r="R35" s="32">
        <f>Q34*freq/12*base_site_2</f>
        <v/>
      </c>
      <c r="S35" s="32">
        <f>R34*freq/12*base_site_2</f>
        <v/>
      </c>
      <c r="T35" s="32">
        <f>S34*freq/12*base_site_2</f>
        <v/>
      </c>
      <c r="U35" s="32">
        <f>T34*freq/12*base_site_2</f>
        <v/>
      </c>
      <c r="V35" s="32">
        <f>U34*freq/12*base_site_2</f>
        <v/>
      </c>
      <c r="W35" s="32">
        <f>V34*freq/12*base_site_2</f>
        <v/>
      </c>
      <c r="X35" s="32">
        <f>W34*freq/12*base_site_2</f>
        <v/>
      </c>
      <c r="Y35" s="32">
        <f>X34*freq/12*base_site_2</f>
        <v/>
      </c>
    </row>
    <row r="36">
      <c r="A36" s="6" t="inlineStr">
        <is>
          <t>Заказы сайта: брендовый поиск</t>
        </is>
      </c>
      <c r="B36" s="32">
        <f>wordstat*brand_share_2*B31*brand_cr_2</f>
        <v/>
      </c>
      <c r="C36" s="32">
        <f>wordstat*brand_share_2*C31*brand_cr_2</f>
        <v/>
      </c>
      <c r="D36" s="32">
        <f>wordstat*brand_share_2*D31*brand_cr_2</f>
        <v/>
      </c>
      <c r="E36" s="32">
        <f>wordstat*brand_share_2*E31*brand_cr_2</f>
        <v/>
      </c>
      <c r="F36" s="32">
        <f>wordstat*brand_share_2*F31*brand_cr_2</f>
        <v/>
      </c>
      <c r="G36" s="32">
        <f>wordstat*brand_share_2*G31*brand_cr_2</f>
        <v/>
      </c>
      <c r="H36" s="32">
        <f>wordstat*brand_share_2*H31*brand_cr_2</f>
        <v/>
      </c>
      <c r="I36" s="32">
        <f>wordstat*brand_share_2*I31*brand_cr_2</f>
        <v/>
      </c>
      <c r="J36" s="32">
        <f>wordstat*brand_share_2*J31*brand_cr_2</f>
        <v/>
      </c>
      <c r="K36" s="32">
        <f>wordstat*brand_share_2*K31*brand_cr_2</f>
        <v/>
      </c>
      <c r="L36" s="32">
        <f>wordstat*brand_share_2*L31*brand_cr_2</f>
        <v/>
      </c>
      <c r="M36" s="32">
        <f>wordstat*brand_share_2*M31*brand_cr_2</f>
        <v/>
      </c>
      <c r="N36" s="32">
        <f>wordstat*brand_share_2*N31*brand_cr_2</f>
        <v/>
      </c>
      <c r="O36" s="32">
        <f>wordstat*brand_share_2*O31*brand_cr_2</f>
        <v/>
      </c>
      <c r="P36" s="32">
        <f>wordstat*brand_share_2*P31*brand_cr_2</f>
        <v/>
      </c>
      <c r="Q36" s="32">
        <f>wordstat*brand_share_2*Q31*brand_cr_2</f>
        <v/>
      </c>
      <c r="R36" s="32">
        <f>wordstat*brand_share_2*R31*brand_cr_2</f>
        <v/>
      </c>
      <c r="S36" s="32">
        <f>wordstat*brand_share_2*S31*brand_cr_2</f>
        <v/>
      </c>
      <c r="T36" s="32">
        <f>wordstat*brand_share_2*T31*brand_cr_2</f>
        <v/>
      </c>
      <c r="U36" s="32">
        <f>wordstat*brand_share_2*U31*brand_cr_2</f>
        <v/>
      </c>
      <c r="V36" s="32">
        <f>wordstat*brand_share_2*V31*brand_cr_2</f>
        <v/>
      </c>
      <c r="W36" s="32">
        <f>wordstat*brand_share_2*W31*brand_cr_2</f>
        <v/>
      </c>
      <c r="X36" s="32">
        <f>wordstat*brand_share_2*X31*brand_cr_2</f>
        <v/>
      </c>
      <c r="Y36" s="32">
        <f>wordstat*brand_share_2*Y31*brand_cr_2</f>
        <v/>
      </c>
    </row>
    <row r="37">
      <c r="A37" s="6" t="inlineStr">
        <is>
          <t>Заказы сайта: соцсети и Telegram</t>
        </is>
      </c>
      <c r="B37" s="32">
        <f>followers*social_cr_2*B31</f>
        <v/>
      </c>
      <c r="C37" s="32">
        <f>followers*social_cr_2*C31</f>
        <v/>
      </c>
      <c r="D37" s="32">
        <f>followers*social_cr_2*D31</f>
        <v/>
      </c>
      <c r="E37" s="32">
        <f>followers*social_cr_2*E31</f>
        <v/>
      </c>
      <c r="F37" s="32">
        <f>followers*social_cr_2*F31</f>
        <v/>
      </c>
      <c r="G37" s="32">
        <f>followers*social_cr_2*G31</f>
        <v/>
      </c>
      <c r="H37" s="32">
        <f>followers*social_cr_2*H31</f>
        <v/>
      </c>
      <c r="I37" s="32">
        <f>followers*social_cr_2*I31</f>
        <v/>
      </c>
      <c r="J37" s="32">
        <f>followers*social_cr_2*J31</f>
        <v/>
      </c>
      <c r="K37" s="32">
        <f>followers*social_cr_2*K31</f>
        <v/>
      </c>
      <c r="L37" s="32">
        <f>followers*social_cr_2*L31</f>
        <v/>
      </c>
      <c r="M37" s="32">
        <f>followers*social_cr_2*M31</f>
        <v/>
      </c>
      <c r="N37" s="32">
        <f>followers*social_cr_2*N31</f>
        <v/>
      </c>
      <c r="O37" s="32">
        <f>followers*social_cr_2*O31</f>
        <v/>
      </c>
      <c r="P37" s="32">
        <f>followers*social_cr_2*P31</f>
        <v/>
      </c>
      <c r="Q37" s="32">
        <f>followers*social_cr_2*Q31</f>
        <v/>
      </c>
      <c r="R37" s="32">
        <f>followers*social_cr_2*R31</f>
        <v/>
      </c>
      <c r="S37" s="32">
        <f>followers*social_cr_2*S31</f>
        <v/>
      </c>
      <c r="T37" s="32">
        <f>followers*social_cr_2*T31</f>
        <v/>
      </c>
      <c r="U37" s="32">
        <f>followers*social_cr_2*U31</f>
        <v/>
      </c>
      <c r="V37" s="32">
        <f>followers*social_cr_2*V31</f>
        <v/>
      </c>
      <c r="W37" s="32">
        <f>followers*social_cr_2*W31</f>
        <v/>
      </c>
      <c r="X37" s="32">
        <f>followers*social_cr_2*X31</f>
        <v/>
      </c>
      <c r="Y37" s="32">
        <f>followers*social_cr_2*Y31</f>
        <v/>
      </c>
    </row>
    <row r="38">
      <c r="A38" s="6" t="inlineStr">
        <is>
          <t>Заказы сайта: Директ / VK</t>
        </is>
      </c>
      <c r="B38" s="32">
        <f>ads_budget_2/cpc_2*ads_cr_2*(0.5+0.5*B31)</f>
        <v/>
      </c>
      <c r="C38" s="32">
        <f>ads_budget_2/cpc_2*ads_cr_2*(0.5+0.5*C31)</f>
        <v/>
      </c>
      <c r="D38" s="32">
        <f>ads_budget_2/cpc_2*ads_cr_2*(0.5+0.5*D31)</f>
        <v/>
      </c>
      <c r="E38" s="32">
        <f>ads_budget_2/cpc_2*ads_cr_2*(0.5+0.5*E31)</f>
        <v/>
      </c>
      <c r="F38" s="32">
        <f>ads_budget_2/cpc_2*ads_cr_2*(0.5+0.5*F31)</f>
        <v/>
      </c>
      <c r="G38" s="32">
        <f>ads_budget_2/cpc_2*ads_cr_2*(0.5+0.5*G31)</f>
        <v/>
      </c>
      <c r="H38" s="32">
        <f>ads_budget_2/cpc_2*ads_cr_2*(0.5+0.5*H31)</f>
        <v/>
      </c>
      <c r="I38" s="32">
        <f>ads_budget_2/cpc_2*ads_cr_2*(0.5+0.5*I31)</f>
        <v/>
      </c>
      <c r="J38" s="32">
        <f>ads_budget_2/cpc_2*ads_cr_2*(0.5+0.5*J31)</f>
        <v/>
      </c>
      <c r="K38" s="32">
        <f>ads_budget_2/cpc_2*ads_cr_2*(0.5+0.5*K31)</f>
        <v/>
      </c>
      <c r="L38" s="32">
        <f>ads_budget_2/cpc_2*ads_cr_2*(0.5+0.5*L31)</f>
        <v/>
      </c>
      <c r="M38" s="32">
        <f>ads_budget_2/cpc_2*ads_cr_2*(0.5+0.5*M31)</f>
        <v/>
      </c>
      <c r="N38" s="32">
        <f>ads_budget_2/cpc_2*ads_cr_2*(0.5+0.5*N31)</f>
        <v/>
      </c>
      <c r="O38" s="32">
        <f>ads_budget_2/cpc_2*ads_cr_2*(0.5+0.5*O31)</f>
        <v/>
      </c>
      <c r="P38" s="32">
        <f>ads_budget_2/cpc_2*ads_cr_2*(0.5+0.5*P31)</f>
        <v/>
      </c>
      <c r="Q38" s="32">
        <f>ads_budget_2/cpc_2*ads_cr_2*(0.5+0.5*Q31)</f>
        <v/>
      </c>
      <c r="R38" s="32">
        <f>ads_budget_2/cpc_2*ads_cr_2*(0.5+0.5*R31)</f>
        <v/>
      </c>
      <c r="S38" s="32">
        <f>ads_budget_2/cpc_2*ads_cr_2*(0.5+0.5*S31)</f>
        <v/>
      </c>
      <c r="T38" s="32">
        <f>ads_budget_2/cpc_2*ads_cr_2*(0.5+0.5*T31)</f>
        <v/>
      </c>
      <c r="U38" s="32">
        <f>ads_budget_2/cpc_2*ads_cr_2*(0.5+0.5*U31)</f>
        <v/>
      </c>
      <c r="V38" s="32">
        <f>ads_budget_2/cpc_2*ads_cr_2*(0.5+0.5*V31)</f>
        <v/>
      </c>
      <c r="W38" s="32">
        <f>ads_budget_2/cpc_2*ads_cr_2*(0.5+0.5*W31)</f>
        <v/>
      </c>
      <c r="X38" s="32">
        <f>ads_budget_2/cpc_2*ads_cr_2*(0.5+0.5*X31)</f>
        <v/>
      </c>
      <c r="Y38" s="32">
        <f>ads_budget_2/cpc_2*ads_cr_2*(0.5+0.5*Y31)</f>
        <v/>
      </c>
    </row>
    <row r="39">
      <c r="A39" s="6" t="inlineStr">
        <is>
          <t>Заказов на сайте всего</t>
        </is>
      </c>
      <c r="B39" s="31">
        <f>B35+B36+B37+B38</f>
        <v/>
      </c>
      <c r="C39" s="31">
        <f>C35+C36+C37+C38</f>
        <v/>
      </c>
      <c r="D39" s="31">
        <f>D35+D36+D37+D38</f>
        <v/>
      </c>
      <c r="E39" s="31">
        <f>E35+E36+E37+E38</f>
        <v/>
      </c>
      <c r="F39" s="31">
        <f>F35+F36+F37+F38</f>
        <v/>
      </c>
      <c r="G39" s="31">
        <f>G35+G36+G37+G38</f>
        <v/>
      </c>
      <c r="H39" s="31">
        <f>H35+H36+H37+H38</f>
        <v/>
      </c>
      <c r="I39" s="31">
        <f>I35+I36+I37+I38</f>
        <v/>
      </c>
      <c r="J39" s="31">
        <f>J35+J36+J37+J38</f>
        <v/>
      </c>
      <c r="K39" s="31">
        <f>K35+K36+K37+K38</f>
        <v/>
      </c>
      <c r="L39" s="31">
        <f>L35+L36+L37+L38</f>
        <v/>
      </c>
      <c r="M39" s="31">
        <f>M35+M36+M37+M38</f>
        <v/>
      </c>
      <c r="N39" s="31">
        <f>N35+N36+N37+N38</f>
        <v/>
      </c>
      <c r="O39" s="31">
        <f>O35+O36+O37+O38</f>
        <v/>
      </c>
      <c r="P39" s="31">
        <f>P35+P36+P37+P38</f>
        <v/>
      </c>
      <c r="Q39" s="31">
        <f>Q35+Q36+Q37+Q38</f>
        <v/>
      </c>
      <c r="R39" s="31">
        <f>R35+R36+R37+R38</f>
        <v/>
      </c>
      <c r="S39" s="31">
        <f>S35+S36+S37+S38</f>
        <v/>
      </c>
      <c r="T39" s="31">
        <f>T35+T36+T37+T38</f>
        <v/>
      </c>
      <c r="U39" s="31">
        <f>U35+U36+U37+U38</f>
        <v/>
      </c>
      <c r="V39" s="31">
        <f>V35+V36+V37+V38</f>
        <v/>
      </c>
      <c r="W39" s="31">
        <f>W35+W36+W37+W38</f>
        <v/>
      </c>
      <c r="X39" s="31">
        <f>X35+X36+X37+X38</f>
        <v/>
      </c>
      <c r="Y39" s="31">
        <f>Y35+Y36+Y37+Y38</f>
        <v/>
      </c>
    </row>
    <row r="40">
      <c r="A40" s="6" t="inlineStr">
        <is>
          <t>Средний чек сайта, ₽</t>
        </is>
      </c>
      <c r="B40" s="33">
        <f>mp_aov*aov_k_2</f>
        <v/>
      </c>
      <c r="C40" s="33">
        <f>mp_aov*aov_k_2</f>
        <v/>
      </c>
      <c r="D40" s="33">
        <f>mp_aov*aov_k_2</f>
        <v/>
      </c>
      <c r="E40" s="33">
        <f>mp_aov*aov_k_2</f>
        <v/>
      </c>
      <c r="F40" s="33">
        <f>mp_aov*aov_k_2</f>
        <v/>
      </c>
      <c r="G40" s="33">
        <f>mp_aov*aov_k_2</f>
        <v/>
      </c>
      <c r="H40" s="33">
        <f>mp_aov*aov_k_2</f>
        <v/>
      </c>
      <c r="I40" s="33">
        <f>mp_aov*aov_k_2</f>
        <v/>
      </c>
      <c r="J40" s="33">
        <f>mp_aov*aov_k_2</f>
        <v/>
      </c>
      <c r="K40" s="33">
        <f>mp_aov*aov_k_2</f>
        <v/>
      </c>
      <c r="L40" s="33">
        <f>mp_aov*aov_k_2</f>
        <v/>
      </c>
      <c r="M40" s="33">
        <f>mp_aov*aov_k_2</f>
        <v/>
      </c>
      <c r="N40" s="33">
        <f>mp_aov*aov_k_2</f>
        <v/>
      </c>
      <c r="O40" s="33">
        <f>mp_aov*aov_k_2</f>
        <v/>
      </c>
      <c r="P40" s="33">
        <f>mp_aov*aov_k_2</f>
        <v/>
      </c>
      <c r="Q40" s="33">
        <f>mp_aov*aov_k_2</f>
        <v/>
      </c>
      <c r="R40" s="33">
        <f>mp_aov*aov_k_2</f>
        <v/>
      </c>
      <c r="S40" s="33">
        <f>mp_aov*aov_k_2</f>
        <v/>
      </c>
      <c r="T40" s="33">
        <f>mp_aov*aov_k_2</f>
        <v/>
      </c>
      <c r="U40" s="33">
        <f>mp_aov*aov_k_2</f>
        <v/>
      </c>
      <c r="V40" s="33">
        <f>mp_aov*aov_k_2</f>
        <v/>
      </c>
      <c r="W40" s="33">
        <f>mp_aov*aov_k_2</f>
        <v/>
      </c>
      <c r="X40" s="33">
        <f>mp_aov*aov_k_2</f>
        <v/>
      </c>
      <c r="Y40" s="33">
        <f>mp_aov*aov_k_2</f>
        <v/>
      </c>
    </row>
    <row r="41">
      <c r="A41" s="34" t="inlineStr">
        <is>
          <t>Выручка сайта, ₽</t>
        </is>
      </c>
      <c r="B41" s="7">
        <f>B39*B40</f>
        <v/>
      </c>
      <c r="C41" s="7">
        <f>C39*C40</f>
        <v/>
      </c>
      <c r="D41" s="7">
        <f>D39*D40</f>
        <v/>
      </c>
      <c r="E41" s="7">
        <f>E39*E40</f>
        <v/>
      </c>
      <c r="F41" s="7">
        <f>F39*F40</f>
        <v/>
      </c>
      <c r="G41" s="7">
        <f>G39*G40</f>
        <v/>
      </c>
      <c r="H41" s="7">
        <f>H39*H40</f>
        <v/>
      </c>
      <c r="I41" s="7">
        <f>I39*I40</f>
        <v/>
      </c>
      <c r="J41" s="7">
        <f>J39*J40</f>
        <v/>
      </c>
      <c r="K41" s="7">
        <f>K39*K40</f>
        <v/>
      </c>
      <c r="L41" s="7">
        <f>L39*L40</f>
        <v/>
      </c>
      <c r="M41" s="7">
        <f>M39*M40</f>
        <v/>
      </c>
      <c r="N41" s="7">
        <f>N39*N40</f>
        <v/>
      </c>
      <c r="O41" s="7">
        <f>O39*O40</f>
        <v/>
      </c>
      <c r="P41" s="7">
        <f>P39*P40</f>
        <v/>
      </c>
      <c r="Q41" s="7">
        <f>Q39*Q40</f>
        <v/>
      </c>
      <c r="R41" s="7">
        <f>R39*R40</f>
        <v/>
      </c>
      <c r="S41" s="7">
        <f>S39*S40</f>
        <v/>
      </c>
      <c r="T41" s="7">
        <f>T39*T40</f>
        <v/>
      </c>
      <c r="U41" s="7">
        <f>U39*U40</f>
        <v/>
      </c>
      <c r="V41" s="7">
        <f>V39*V40</f>
        <v/>
      </c>
      <c r="W41" s="7">
        <f>W39*W40</f>
        <v/>
      </c>
      <c r="X41" s="7">
        <f>X39*X40</f>
        <v/>
      </c>
      <c r="Y41" s="7">
        <f>Y39*Y40</f>
        <v/>
      </c>
    </row>
    <row r="42">
      <c r="A42" s="6" t="inlineStr">
        <is>
          <t xml:space="preserve">  в т.ч. новые деньги (прирост оборота), ₽</t>
        </is>
      </c>
      <c r="B42" s="33">
        <f>B41*incr_2</f>
        <v/>
      </c>
      <c r="C42" s="33">
        <f>C41*incr_2</f>
        <v/>
      </c>
      <c r="D42" s="33">
        <f>D41*incr_2</f>
        <v/>
      </c>
      <c r="E42" s="33">
        <f>E41*incr_2</f>
        <v/>
      </c>
      <c r="F42" s="33">
        <f>F41*incr_2</f>
        <v/>
      </c>
      <c r="G42" s="33">
        <f>G41*incr_2</f>
        <v/>
      </c>
      <c r="H42" s="33">
        <f>H41*incr_2</f>
        <v/>
      </c>
      <c r="I42" s="33">
        <f>I41*incr_2</f>
        <v/>
      </c>
      <c r="J42" s="33">
        <f>J41*incr_2</f>
        <v/>
      </c>
      <c r="K42" s="33">
        <f>K41*incr_2</f>
        <v/>
      </c>
      <c r="L42" s="33">
        <f>L41*incr_2</f>
        <v/>
      </c>
      <c r="M42" s="33">
        <f>M41*incr_2</f>
        <v/>
      </c>
      <c r="N42" s="33">
        <f>N41*incr_2</f>
        <v/>
      </c>
      <c r="O42" s="33">
        <f>O41*incr_2</f>
        <v/>
      </c>
      <c r="P42" s="33">
        <f>P41*incr_2</f>
        <v/>
      </c>
      <c r="Q42" s="33">
        <f>Q41*incr_2</f>
        <v/>
      </c>
      <c r="R42" s="33">
        <f>R41*incr_2</f>
        <v/>
      </c>
      <c r="S42" s="33">
        <f>S41*incr_2</f>
        <v/>
      </c>
      <c r="T42" s="33">
        <f>T41*incr_2</f>
        <v/>
      </c>
      <c r="U42" s="33">
        <f>U41*incr_2</f>
        <v/>
      </c>
      <c r="V42" s="33">
        <f>V41*incr_2</f>
        <v/>
      </c>
      <c r="W42" s="33">
        <f>W41*incr_2</f>
        <v/>
      </c>
      <c r="X42" s="33">
        <f>X41*incr_2</f>
        <v/>
      </c>
      <c r="Y42" s="33">
        <f>Y41*incr_2</f>
        <v/>
      </c>
    </row>
    <row r="43">
      <c r="A43" s="6" t="inlineStr">
        <is>
          <t xml:space="preserve">  в т.ч. перешло с МП, ₽</t>
        </is>
      </c>
      <c r="B43" s="33">
        <f>B41-B42</f>
        <v/>
      </c>
      <c r="C43" s="33">
        <f>C41-C42</f>
        <v/>
      </c>
      <c r="D43" s="33">
        <f>D41-D42</f>
        <v/>
      </c>
      <c r="E43" s="33">
        <f>E41-E42</f>
        <v/>
      </c>
      <c r="F43" s="33">
        <f>F41-F42</f>
        <v/>
      </c>
      <c r="G43" s="33">
        <f>G41-G42</f>
        <v/>
      </c>
      <c r="H43" s="33">
        <f>H41-H42</f>
        <v/>
      </c>
      <c r="I43" s="33">
        <f>I41-I42</f>
        <v/>
      </c>
      <c r="J43" s="33">
        <f>J41-J42</f>
        <v/>
      </c>
      <c r="K43" s="33">
        <f>K41-K42</f>
        <v/>
      </c>
      <c r="L43" s="33">
        <f>L41-L42</f>
        <v/>
      </c>
      <c r="M43" s="33">
        <f>M41-M42</f>
        <v/>
      </c>
      <c r="N43" s="33">
        <f>N41-N42</f>
        <v/>
      </c>
      <c r="O43" s="33">
        <f>O41-O42</f>
        <v/>
      </c>
      <c r="P43" s="33">
        <f>P41-P42</f>
        <v/>
      </c>
      <c r="Q43" s="33">
        <f>Q41-Q42</f>
        <v/>
      </c>
      <c r="R43" s="33">
        <f>R41-R42</f>
        <v/>
      </c>
      <c r="S43" s="33">
        <f>S41-S42</f>
        <v/>
      </c>
      <c r="T43" s="33">
        <f>T41-T42</f>
        <v/>
      </c>
      <c r="U43" s="33">
        <f>U41-U42</f>
        <v/>
      </c>
      <c r="V43" s="33">
        <f>V41-V42</f>
        <v/>
      </c>
      <c r="W43" s="33">
        <f>W41-W42</f>
        <v/>
      </c>
      <c r="X43" s="33">
        <f>X41-X42</f>
        <v/>
      </c>
      <c r="Y43" s="33">
        <f>Y41-Y42</f>
        <v/>
      </c>
    </row>
    <row r="44">
      <c r="A44" s="34" t="inlineStr">
        <is>
          <t>Доля сайта в общем обороте</t>
        </is>
      </c>
      <c r="B44" s="35">
        <f>B41/(mp_rev-B43+B41)</f>
        <v/>
      </c>
      <c r="C44" s="35">
        <f>C41/(mp_rev-C43+C41)</f>
        <v/>
      </c>
      <c r="D44" s="35">
        <f>D41/(mp_rev-D43+D41)</f>
        <v/>
      </c>
      <c r="E44" s="35">
        <f>E41/(mp_rev-E43+E41)</f>
        <v/>
      </c>
      <c r="F44" s="35">
        <f>F41/(mp_rev-F43+F41)</f>
        <v/>
      </c>
      <c r="G44" s="35">
        <f>G41/(mp_rev-G43+G41)</f>
        <v/>
      </c>
      <c r="H44" s="35">
        <f>H41/(mp_rev-H43+H41)</f>
        <v/>
      </c>
      <c r="I44" s="35">
        <f>I41/(mp_rev-I43+I41)</f>
        <v/>
      </c>
      <c r="J44" s="35">
        <f>J41/(mp_rev-J43+J41)</f>
        <v/>
      </c>
      <c r="K44" s="35">
        <f>K41/(mp_rev-K43+K41)</f>
        <v/>
      </c>
      <c r="L44" s="35">
        <f>L41/(mp_rev-L43+L41)</f>
        <v/>
      </c>
      <c r="M44" s="35">
        <f>M41/(mp_rev-M43+M41)</f>
        <v/>
      </c>
      <c r="N44" s="35">
        <f>N41/(mp_rev-N43+N41)</f>
        <v/>
      </c>
      <c r="O44" s="35">
        <f>O41/(mp_rev-O43+O41)</f>
        <v/>
      </c>
      <c r="P44" s="35">
        <f>P41/(mp_rev-P43+P41)</f>
        <v/>
      </c>
      <c r="Q44" s="35">
        <f>Q41/(mp_rev-Q43+Q41)</f>
        <v/>
      </c>
      <c r="R44" s="35">
        <f>R41/(mp_rev-R43+R41)</f>
        <v/>
      </c>
      <c r="S44" s="35">
        <f>S41/(mp_rev-S43+S41)</f>
        <v/>
      </c>
      <c r="T44" s="35">
        <f>T41/(mp_rev-T43+T41)</f>
        <v/>
      </c>
      <c r="U44" s="35">
        <f>U41/(mp_rev-U43+U41)</f>
        <v/>
      </c>
      <c r="V44" s="35">
        <f>V41/(mp_rev-V43+V41)</f>
        <v/>
      </c>
      <c r="W44" s="35">
        <f>W41/(mp_rev-W43+W41)</f>
        <v/>
      </c>
      <c r="X44" s="35">
        <f>X41/(mp_rev-X43+X41)</f>
        <v/>
      </c>
      <c r="Y44" s="35">
        <f>Y41/(mp_rev-Y43+Y41)</f>
        <v/>
      </c>
    </row>
    <row r="45">
      <c r="A45" s="6" t="inlineStr">
        <is>
          <t>Расходы сайта (без себестоимости), ₽</t>
        </is>
      </c>
      <c r="B45" s="33">
        <f>B41*acq+B39*(ship+pick)+B35*B40*crm_pct+B36*B40*brand_cost+ads_budget_2+platform</f>
        <v/>
      </c>
      <c r="C45" s="33">
        <f>C41*acq+C39*(ship+pick)+C35*C40*crm_pct+C36*C40*brand_cost+ads_budget_2+platform</f>
        <v/>
      </c>
      <c r="D45" s="33">
        <f>D41*acq+D39*(ship+pick)+D35*D40*crm_pct+D36*D40*brand_cost+ads_budget_2+platform</f>
        <v/>
      </c>
      <c r="E45" s="33">
        <f>E41*acq+E39*(ship+pick)+E35*E40*crm_pct+E36*E40*brand_cost+ads_budget_2+platform</f>
        <v/>
      </c>
      <c r="F45" s="33">
        <f>F41*acq+F39*(ship+pick)+F35*F40*crm_pct+F36*F40*brand_cost+ads_budget_2+platform</f>
        <v/>
      </c>
      <c r="G45" s="33">
        <f>G41*acq+G39*(ship+pick)+G35*G40*crm_pct+G36*G40*brand_cost+ads_budget_2+platform</f>
        <v/>
      </c>
      <c r="H45" s="33">
        <f>H41*acq+H39*(ship+pick)+H35*H40*crm_pct+H36*H40*brand_cost+ads_budget_2+platform</f>
        <v/>
      </c>
      <c r="I45" s="33">
        <f>I41*acq+I39*(ship+pick)+I35*I40*crm_pct+I36*I40*brand_cost+ads_budget_2+platform</f>
        <v/>
      </c>
      <c r="J45" s="33">
        <f>J41*acq+J39*(ship+pick)+J35*J40*crm_pct+J36*J40*brand_cost+ads_budget_2+platform</f>
        <v/>
      </c>
      <c r="K45" s="33">
        <f>K41*acq+K39*(ship+pick)+K35*K40*crm_pct+K36*K40*brand_cost+ads_budget_2+platform</f>
        <v/>
      </c>
      <c r="L45" s="33">
        <f>L41*acq+L39*(ship+pick)+L35*L40*crm_pct+L36*L40*brand_cost+ads_budget_2+platform</f>
        <v/>
      </c>
      <c r="M45" s="33">
        <f>M41*acq+M39*(ship+pick)+M35*M40*crm_pct+M36*M40*brand_cost+ads_budget_2+platform</f>
        <v/>
      </c>
      <c r="N45" s="33">
        <f>N41*acq+N39*(ship+pick)+N35*N40*crm_pct+N36*N40*brand_cost+ads_budget_2+platform</f>
        <v/>
      </c>
      <c r="O45" s="33">
        <f>O41*acq+O39*(ship+pick)+O35*O40*crm_pct+O36*O40*brand_cost+ads_budget_2+platform</f>
        <v/>
      </c>
      <c r="P45" s="33">
        <f>P41*acq+P39*(ship+pick)+P35*P40*crm_pct+P36*P40*brand_cost+ads_budget_2+platform</f>
        <v/>
      </c>
      <c r="Q45" s="33">
        <f>Q41*acq+Q39*(ship+pick)+Q35*Q40*crm_pct+Q36*Q40*brand_cost+ads_budget_2+platform</f>
        <v/>
      </c>
      <c r="R45" s="33">
        <f>R41*acq+R39*(ship+pick)+R35*R40*crm_pct+R36*R40*brand_cost+ads_budget_2+platform</f>
        <v/>
      </c>
      <c r="S45" s="33">
        <f>S41*acq+S39*(ship+pick)+S35*S40*crm_pct+S36*S40*brand_cost+ads_budget_2+platform</f>
        <v/>
      </c>
      <c r="T45" s="33">
        <f>T41*acq+T39*(ship+pick)+T35*T40*crm_pct+T36*T40*brand_cost+ads_budget_2+platform</f>
        <v/>
      </c>
      <c r="U45" s="33">
        <f>U41*acq+U39*(ship+pick)+U35*U40*crm_pct+U36*U40*brand_cost+ads_budget_2+platform</f>
        <v/>
      </c>
      <c r="V45" s="33">
        <f>V41*acq+V39*(ship+pick)+V35*V40*crm_pct+V36*V40*brand_cost+ads_budget_2+platform</f>
        <v/>
      </c>
      <c r="W45" s="33">
        <f>W41*acq+W39*(ship+pick)+W35*W40*crm_pct+W36*W40*brand_cost+ads_budget_2+platform</f>
        <v/>
      </c>
      <c r="X45" s="33">
        <f>X41*acq+X39*(ship+pick)+X35*X40*crm_pct+X36*X40*brand_cost+ads_budget_2+platform</f>
        <v/>
      </c>
      <c r="Y45" s="33">
        <f>Y41*acq+Y39*(ship+pick)+Y35*Y40*crm_pct+Y36*Y40*brand_cost+ads_budget_2+platform</f>
        <v/>
      </c>
    </row>
    <row r="46">
      <c r="A46" s="6" t="inlineStr">
        <is>
          <t>Расходы сайта, % выручки</t>
        </is>
      </c>
      <c r="B46" s="30">
        <f>IF(B41=0,0,B45/B41)</f>
        <v/>
      </c>
      <c r="C46" s="30">
        <f>IF(C41=0,0,C45/C41)</f>
        <v/>
      </c>
      <c r="D46" s="30">
        <f>IF(D41=0,0,D45/D41)</f>
        <v/>
      </c>
      <c r="E46" s="30">
        <f>IF(E41=0,0,E45/E41)</f>
        <v/>
      </c>
      <c r="F46" s="30">
        <f>IF(F41=0,0,F45/F41)</f>
        <v/>
      </c>
      <c r="G46" s="30">
        <f>IF(G41=0,0,G45/G41)</f>
        <v/>
      </c>
      <c r="H46" s="30">
        <f>IF(H41=0,0,H45/H41)</f>
        <v/>
      </c>
      <c r="I46" s="30">
        <f>IF(I41=0,0,I45/I41)</f>
        <v/>
      </c>
      <c r="J46" s="30">
        <f>IF(J41=0,0,J45/J41)</f>
        <v/>
      </c>
      <c r="K46" s="30">
        <f>IF(K41=0,0,K45/K41)</f>
        <v/>
      </c>
      <c r="L46" s="30">
        <f>IF(L41=0,0,L45/L41)</f>
        <v/>
      </c>
      <c r="M46" s="30">
        <f>IF(M41=0,0,M45/M41)</f>
        <v/>
      </c>
      <c r="N46" s="30">
        <f>IF(N41=0,0,N45/N41)</f>
        <v/>
      </c>
      <c r="O46" s="30">
        <f>IF(O41=0,0,O45/O41)</f>
        <v/>
      </c>
      <c r="P46" s="30">
        <f>IF(P41=0,0,P45/P41)</f>
        <v/>
      </c>
      <c r="Q46" s="30">
        <f>IF(Q41=0,0,Q45/Q41)</f>
        <v/>
      </c>
      <c r="R46" s="30">
        <f>IF(R41=0,0,R45/R41)</f>
        <v/>
      </c>
      <c r="S46" s="30">
        <f>IF(S41=0,0,S45/S41)</f>
        <v/>
      </c>
      <c r="T46" s="30">
        <f>IF(T41=0,0,T45/T41)</f>
        <v/>
      </c>
      <c r="U46" s="30">
        <f>IF(U41=0,0,U45/U41)</f>
        <v/>
      </c>
      <c r="V46" s="30">
        <f>IF(V41=0,0,V45/V41)</f>
        <v/>
      </c>
      <c r="W46" s="30">
        <f>IF(W41=0,0,W45/W41)</f>
        <v/>
      </c>
      <c r="X46" s="30">
        <f>IF(X41=0,0,X45/X41)</f>
        <v/>
      </c>
      <c r="Y46" s="30">
        <f>IF(Y41=0,0,Y45/Y41)</f>
        <v/>
      </c>
    </row>
    <row r="47">
      <c r="A47" s="6" t="inlineStr">
        <is>
          <t>Наши услуги, ₽</t>
        </is>
      </c>
      <c r="B47" s="33">
        <f>svc_setup+svc_month+B41*svc_pct</f>
        <v/>
      </c>
      <c r="C47" s="33">
        <f>svc_month+C41*svc_pct</f>
        <v/>
      </c>
      <c r="D47" s="33">
        <f>svc_month+D41*svc_pct</f>
        <v/>
      </c>
      <c r="E47" s="33">
        <f>svc_month+E41*svc_pct</f>
        <v/>
      </c>
      <c r="F47" s="33">
        <f>svc_month+F41*svc_pct</f>
        <v/>
      </c>
      <c r="G47" s="33">
        <f>svc_month+G41*svc_pct</f>
        <v/>
      </c>
      <c r="H47" s="33">
        <f>svc_month+H41*svc_pct</f>
        <v/>
      </c>
      <c r="I47" s="33">
        <f>svc_month+I41*svc_pct</f>
        <v/>
      </c>
      <c r="J47" s="33">
        <f>svc_month+J41*svc_pct</f>
        <v/>
      </c>
      <c r="K47" s="33">
        <f>svc_month+K41*svc_pct</f>
        <v/>
      </c>
      <c r="L47" s="33">
        <f>svc_month+L41*svc_pct</f>
        <v/>
      </c>
      <c r="M47" s="33">
        <f>svc_month+M41*svc_pct</f>
        <v/>
      </c>
      <c r="N47" s="33">
        <f>svc_month+N41*svc_pct</f>
        <v/>
      </c>
      <c r="O47" s="33">
        <f>svc_month+O41*svc_pct</f>
        <v/>
      </c>
      <c r="P47" s="33">
        <f>svc_month+P41*svc_pct</f>
        <v/>
      </c>
      <c r="Q47" s="33">
        <f>svc_month+Q41*svc_pct</f>
        <v/>
      </c>
      <c r="R47" s="33">
        <f>svc_month+R41*svc_pct</f>
        <v/>
      </c>
      <c r="S47" s="33">
        <f>svc_month+S41*svc_pct</f>
        <v/>
      </c>
      <c r="T47" s="33">
        <f>svc_month+T41*svc_pct</f>
        <v/>
      </c>
      <c r="U47" s="33">
        <f>svc_month+U41*svc_pct</f>
        <v/>
      </c>
      <c r="V47" s="33">
        <f>svc_month+V41*svc_pct</f>
        <v/>
      </c>
      <c r="W47" s="33">
        <f>svc_month+W41*svc_pct</f>
        <v/>
      </c>
      <c r="X47" s="33">
        <f>svc_month+X41*svc_pct</f>
        <v/>
      </c>
      <c r="Y47" s="33">
        <f>svc_month+Y41*svc_pct</f>
        <v/>
      </c>
    </row>
    <row r="48">
      <c r="A48" s="6" t="inlineStr">
        <is>
          <t>Маржа сайта после себестоимости и расходов, ₽</t>
        </is>
      </c>
      <c r="B48" s="33">
        <f>B41*(1-cogs)-B45-B47</f>
        <v/>
      </c>
      <c r="C48" s="33">
        <f>C41*(1-cogs)-C45-C47</f>
        <v/>
      </c>
      <c r="D48" s="33">
        <f>D41*(1-cogs)-D45-D47</f>
        <v/>
      </c>
      <c r="E48" s="33">
        <f>E41*(1-cogs)-E45-E47</f>
        <v/>
      </c>
      <c r="F48" s="33">
        <f>F41*(1-cogs)-F45-F47</f>
        <v/>
      </c>
      <c r="G48" s="33">
        <f>G41*(1-cogs)-G45-G47</f>
        <v/>
      </c>
      <c r="H48" s="33">
        <f>H41*(1-cogs)-H45-H47</f>
        <v/>
      </c>
      <c r="I48" s="33">
        <f>I41*(1-cogs)-I45-I47</f>
        <v/>
      </c>
      <c r="J48" s="33">
        <f>J41*(1-cogs)-J45-J47</f>
        <v/>
      </c>
      <c r="K48" s="33">
        <f>K41*(1-cogs)-K45-K47</f>
        <v/>
      </c>
      <c r="L48" s="33">
        <f>L41*(1-cogs)-L45-L47</f>
        <v/>
      </c>
      <c r="M48" s="33">
        <f>M41*(1-cogs)-M45-M47</f>
        <v/>
      </c>
      <c r="N48" s="33">
        <f>N41*(1-cogs)-N45-N47</f>
        <v/>
      </c>
      <c r="O48" s="33">
        <f>O41*(1-cogs)-O45-O47</f>
        <v/>
      </c>
      <c r="P48" s="33">
        <f>P41*(1-cogs)-P45-P47</f>
        <v/>
      </c>
      <c r="Q48" s="33">
        <f>Q41*(1-cogs)-Q45-Q47</f>
        <v/>
      </c>
      <c r="R48" s="33">
        <f>R41*(1-cogs)-R45-R47</f>
        <v/>
      </c>
      <c r="S48" s="33">
        <f>S41*(1-cogs)-S45-S47</f>
        <v/>
      </c>
      <c r="T48" s="33">
        <f>T41*(1-cogs)-T45-T47</f>
        <v/>
      </c>
      <c r="U48" s="33">
        <f>U41*(1-cogs)-U45-U47</f>
        <v/>
      </c>
      <c r="V48" s="33">
        <f>V41*(1-cogs)-V45-V47</f>
        <v/>
      </c>
      <c r="W48" s="33">
        <f>W41*(1-cogs)-W45-W47</f>
        <v/>
      </c>
      <c r="X48" s="33">
        <f>X41*(1-cogs)-X45-X47</f>
        <v/>
      </c>
      <c r="Y48" s="33">
        <f>Y41*(1-cogs)-Y45-Y47</f>
        <v/>
      </c>
    </row>
    <row r="49">
      <c r="A49" s="6" t="inlineStr">
        <is>
          <t>Маржа, которую эти заказы дали бы на МП, ₽</t>
        </is>
      </c>
      <c r="B49" s="33">
        <f>B43*(1-cogs-mp_take)</f>
        <v/>
      </c>
      <c r="C49" s="33">
        <f>C43*(1-cogs-mp_take)</f>
        <v/>
      </c>
      <c r="D49" s="33">
        <f>D43*(1-cogs-mp_take)</f>
        <v/>
      </c>
      <c r="E49" s="33">
        <f>E43*(1-cogs-mp_take)</f>
        <v/>
      </c>
      <c r="F49" s="33">
        <f>F43*(1-cogs-mp_take)</f>
        <v/>
      </c>
      <c r="G49" s="33">
        <f>G43*(1-cogs-mp_take)</f>
        <v/>
      </c>
      <c r="H49" s="33">
        <f>H43*(1-cogs-mp_take)</f>
        <v/>
      </c>
      <c r="I49" s="33">
        <f>I43*(1-cogs-mp_take)</f>
        <v/>
      </c>
      <c r="J49" s="33">
        <f>J43*(1-cogs-mp_take)</f>
        <v/>
      </c>
      <c r="K49" s="33">
        <f>K43*(1-cogs-mp_take)</f>
        <v/>
      </c>
      <c r="L49" s="33">
        <f>L43*(1-cogs-mp_take)</f>
        <v/>
      </c>
      <c r="M49" s="33">
        <f>M43*(1-cogs-mp_take)</f>
        <v/>
      </c>
      <c r="N49" s="33">
        <f>N43*(1-cogs-mp_take)</f>
        <v/>
      </c>
      <c r="O49" s="33">
        <f>O43*(1-cogs-mp_take)</f>
        <v/>
      </c>
      <c r="P49" s="33">
        <f>P43*(1-cogs-mp_take)</f>
        <v/>
      </c>
      <c r="Q49" s="33">
        <f>Q43*(1-cogs-mp_take)</f>
        <v/>
      </c>
      <c r="R49" s="33">
        <f>R43*(1-cogs-mp_take)</f>
        <v/>
      </c>
      <c r="S49" s="33">
        <f>S43*(1-cogs-mp_take)</f>
        <v/>
      </c>
      <c r="T49" s="33">
        <f>T43*(1-cogs-mp_take)</f>
        <v/>
      </c>
      <c r="U49" s="33">
        <f>U43*(1-cogs-mp_take)</f>
        <v/>
      </c>
      <c r="V49" s="33">
        <f>V43*(1-cogs-mp_take)</f>
        <v/>
      </c>
      <c r="W49" s="33">
        <f>W43*(1-cogs-mp_take)</f>
        <v/>
      </c>
      <c r="X49" s="33">
        <f>X43*(1-cogs-mp_take)</f>
        <v/>
      </c>
      <c r="Y49" s="33">
        <f>Y43*(1-cogs-mp_take)</f>
        <v/>
      </c>
    </row>
    <row r="50">
      <c r="A50" s="34" t="inlineStr">
        <is>
          <t>Чистый эффект для селлера, ₽</t>
        </is>
      </c>
      <c r="B50" s="7">
        <f>B48-B49</f>
        <v/>
      </c>
      <c r="C50" s="7">
        <f>C48-C49</f>
        <v/>
      </c>
      <c r="D50" s="7">
        <f>D48-D49</f>
        <v/>
      </c>
      <c r="E50" s="7">
        <f>E48-E49</f>
        <v/>
      </c>
      <c r="F50" s="7">
        <f>F48-F49</f>
        <v/>
      </c>
      <c r="G50" s="7">
        <f>G48-G49</f>
        <v/>
      </c>
      <c r="H50" s="7">
        <f>H48-H49</f>
        <v/>
      </c>
      <c r="I50" s="7">
        <f>I48-I49</f>
        <v/>
      </c>
      <c r="J50" s="7">
        <f>J48-J49</f>
        <v/>
      </c>
      <c r="K50" s="7">
        <f>K48-K49</f>
        <v/>
      </c>
      <c r="L50" s="7">
        <f>L48-L49</f>
        <v/>
      </c>
      <c r="M50" s="7">
        <f>M48-M49</f>
        <v/>
      </c>
      <c r="N50" s="7">
        <f>N48-N49</f>
        <v/>
      </c>
      <c r="O50" s="7">
        <f>O48-O49</f>
        <v/>
      </c>
      <c r="P50" s="7">
        <f>P48-P49</f>
        <v/>
      </c>
      <c r="Q50" s="7">
        <f>Q48-Q49</f>
        <v/>
      </c>
      <c r="R50" s="7">
        <f>R48-R49</f>
        <v/>
      </c>
      <c r="S50" s="7">
        <f>S48-S49</f>
        <v/>
      </c>
      <c r="T50" s="7">
        <f>T48-T49</f>
        <v/>
      </c>
      <c r="U50" s="7">
        <f>U48-U49</f>
        <v/>
      </c>
      <c r="V50" s="7">
        <f>V48-V49</f>
        <v/>
      </c>
      <c r="W50" s="7">
        <f>W48-W49</f>
        <v/>
      </c>
      <c r="X50" s="7">
        <f>X48-X49</f>
        <v/>
      </c>
      <c r="Y50" s="7">
        <f>Y48-Y49</f>
        <v/>
      </c>
    </row>
    <row r="51">
      <c r="A51" s="6" t="inlineStr">
        <is>
          <t>Нарастающим итогом, ₽</t>
        </is>
      </c>
      <c r="B51" s="33">
        <f>B50</f>
        <v/>
      </c>
      <c r="C51" s="33">
        <f>B51+C50</f>
        <v/>
      </c>
      <c r="D51" s="33">
        <f>C51+D50</f>
        <v/>
      </c>
      <c r="E51" s="33">
        <f>D51+E50</f>
        <v/>
      </c>
      <c r="F51" s="33">
        <f>E51+F50</f>
        <v/>
      </c>
      <c r="G51" s="33">
        <f>F51+G50</f>
        <v/>
      </c>
      <c r="H51" s="33">
        <f>G51+H50</f>
        <v/>
      </c>
      <c r="I51" s="33">
        <f>H51+I50</f>
        <v/>
      </c>
      <c r="J51" s="33">
        <f>I51+J50</f>
        <v/>
      </c>
      <c r="K51" s="33">
        <f>J51+K50</f>
        <v/>
      </c>
      <c r="L51" s="33">
        <f>K51+L50</f>
        <v/>
      </c>
      <c r="M51" s="33">
        <f>L51+M50</f>
        <v/>
      </c>
      <c r="N51" s="33">
        <f>M51+N50</f>
        <v/>
      </c>
      <c r="O51" s="33">
        <f>N51+O50</f>
        <v/>
      </c>
      <c r="P51" s="33">
        <f>O51+P50</f>
        <v/>
      </c>
      <c r="Q51" s="33">
        <f>P51+Q50</f>
        <v/>
      </c>
      <c r="R51" s="33">
        <f>Q51+R50</f>
        <v/>
      </c>
      <c r="S51" s="33">
        <f>R51+S50</f>
        <v/>
      </c>
      <c r="T51" s="33">
        <f>S51+T50</f>
        <v/>
      </c>
      <c r="U51" s="33">
        <f>T51+U50</f>
        <v/>
      </c>
      <c r="V51" s="33">
        <f>U51+V50</f>
        <v/>
      </c>
      <c r="W51" s="33">
        <f>V51+W50</f>
        <v/>
      </c>
      <c r="X51" s="33">
        <f>W51+X50</f>
        <v/>
      </c>
      <c r="Y51" s="33">
        <f>X51+Y50</f>
        <v/>
      </c>
    </row>
    <row r="52">
      <c r="A52" s="6" t="inlineStr">
        <is>
          <t>Окупилось (1 = да)</t>
        </is>
      </c>
      <c r="B52" s="36">
        <f>IF(B51&gt;0,1,0)</f>
        <v/>
      </c>
      <c r="C52" s="36">
        <f>IF(C51&gt;0,1,0)</f>
        <v/>
      </c>
      <c r="D52" s="36">
        <f>IF(D51&gt;0,1,0)</f>
        <v/>
      </c>
      <c r="E52" s="36">
        <f>IF(E51&gt;0,1,0)</f>
        <v/>
      </c>
      <c r="F52" s="36">
        <f>IF(F51&gt;0,1,0)</f>
        <v/>
      </c>
      <c r="G52" s="36">
        <f>IF(G51&gt;0,1,0)</f>
        <v/>
      </c>
      <c r="H52" s="36">
        <f>IF(H51&gt;0,1,0)</f>
        <v/>
      </c>
      <c r="I52" s="36">
        <f>IF(I51&gt;0,1,0)</f>
        <v/>
      </c>
      <c r="J52" s="36">
        <f>IF(J51&gt;0,1,0)</f>
        <v/>
      </c>
      <c r="K52" s="36">
        <f>IF(K51&gt;0,1,0)</f>
        <v/>
      </c>
      <c r="L52" s="36">
        <f>IF(L51&gt;0,1,0)</f>
        <v/>
      </c>
      <c r="M52" s="36">
        <f>IF(M51&gt;0,1,0)</f>
        <v/>
      </c>
      <c r="N52" s="36">
        <f>IF(N51&gt;0,1,0)</f>
        <v/>
      </c>
      <c r="O52" s="36">
        <f>IF(O51&gt;0,1,0)</f>
        <v/>
      </c>
      <c r="P52" s="36">
        <f>IF(P51&gt;0,1,0)</f>
        <v/>
      </c>
      <c r="Q52" s="36">
        <f>IF(Q51&gt;0,1,0)</f>
        <v/>
      </c>
      <c r="R52" s="36">
        <f>IF(R51&gt;0,1,0)</f>
        <v/>
      </c>
      <c r="S52" s="36">
        <f>IF(S51&gt;0,1,0)</f>
        <v/>
      </c>
      <c r="T52" s="36">
        <f>IF(T51&gt;0,1,0)</f>
        <v/>
      </c>
      <c r="U52" s="36">
        <f>IF(U51&gt;0,1,0)</f>
        <v/>
      </c>
      <c r="V52" s="36">
        <f>IF(V51&gt;0,1,0)</f>
        <v/>
      </c>
      <c r="W52" s="36">
        <f>IF(W51&gt;0,1,0)</f>
        <v/>
      </c>
      <c r="X52" s="36">
        <f>IF(X51&gt;0,1,0)</f>
        <v/>
      </c>
      <c r="Y52" s="36">
        <f>IF(Y51&gt;0,1,0)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4" t="inlineStr">
        <is>
          <t>Сценарий: Сильный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28" t="inlineStr">
        <is>
          <t>Месяц</t>
        </is>
      </c>
      <c r="B55" s="29" t="n">
        <v>1</v>
      </c>
      <c r="C55" s="29" t="n">
        <v>2</v>
      </c>
      <c r="D55" s="29" t="n">
        <v>3</v>
      </c>
      <c r="E55" s="29" t="n">
        <v>4</v>
      </c>
      <c r="F55" s="29" t="n">
        <v>5</v>
      </c>
      <c r="G55" s="29" t="n">
        <v>6</v>
      </c>
      <c r="H55" s="29" t="n">
        <v>7</v>
      </c>
      <c r="I55" s="29" t="n">
        <v>8</v>
      </c>
      <c r="J55" s="29" t="n">
        <v>9</v>
      </c>
      <c r="K55" s="29" t="n">
        <v>10</v>
      </c>
      <c r="L55" s="29" t="n">
        <v>11</v>
      </c>
      <c r="M55" s="29" t="n">
        <v>12</v>
      </c>
      <c r="N55" s="29" t="n">
        <v>13</v>
      </c>
      <c r="O55" s="29" t="n">
        <v>14</v>
      </c>
      <c r="P55" s="29" t="n">
        <v>15</v>
      </c>
      <c r="Q55" s="29" t="n">
        <v>16</v>
      </c>
      <c r="R55" s="29" t="n">
        <v>17</v>
      </c>
      <c r="S55" s="29" t="n">
        <v>18</v>
      </c>
      <c r="T55" s="29" t="n">
        <v>19</v>
      </c>
      <c r="U55" s="29" t="n">
        <v>20</v>
      </c>
      <c r="V55" s="29" t="n">
        <v>21</v>
      </c>
      <c r="W55" s="29" t="n">
        <v>22</v>
      </c>
      <c r="X55" s="29" t="n">
        <v>23</v>
      </c>
      <c r="Y55" s="29" t="n">
        <v>24</v>
      </c>
    </row>
    <row r="56">
      <c r="A56" s="6" t="inlineStr">
        <is>
          <t>Разгон (доля полной мощности)</t>
        </is>
      </c>
      <c r="B56" s="30">
        <f>MIN(1,B55/ramp_3)</f>
        <v/>
      </c>
      <c r="C56" s="30">
        <f>MIN(1,C55/ramp_3)</f>
        <v/>
      </c>
      <c r="D56" s="30">
        <f>MIN(1,D55/ramp_3)</f>
        <v/>
      </c>
      <c r="E56" s="30">
        <f>MIN(1,E55/ramp_3)</f>
        <v/>
      </c>
      <c r="F56" s="30">
        <f>MIN(1,F55/ramp_3)</f>
        <v/>
      </c>
      <c r="G56" s="30">
        <f>MIN(1,G55/ramp_3)</f>
        <v/>
      </c>
      <c r="H56" s="30">
        <f>MIN(1,H55/ramp_3)</f>
        <v/>
      </c>
      <c r="I56" s="30">
        <f>MIN(1,I55/ramp_3)</f>
        <v/>
      </c>
      <c r="J56" s="30">
        <f>MIN(1,J55/ramp_3)</f>
        <v/>
      </c>
      <c r="K56" s="30">
        <f>MIN(1,K55/ramp_3)</f>
        <v/>
      </c>
      <c r="L56" s="30">
        <f>MIN(1,L55/ramp_3)</f>
        <v/>
      </c>
      <c r="M56" s="30">
        <f>MIN(1,M55/ramp_3)</f>
        <v/>
      </c>
      <c r="N56" s="30">
        <f>MIN(1,N55/ramp_3)</f>
        <v/>
      </c>
      <c r="O56" s="30">
        <f>MIN(1,O55/ramp_3)</f>
        <v/>
      </c>
      <c r="P56" s="30">
        <f>MIN(1,P55/ramp_3)</f>
        <v/>
      </c>
      <c r="Q56" s="30">
        <f>MIN(1,Q55/ramp_3)</f>
        <v/>
      </c>
      <c r="R56" s="30">
        <f>MIN(1,R55/ramp_3)</f>
        <v/>
      </c>
      <c r="S56" s="30">
        <f>MIN(1,S55/ramp_3)</f>
        <v/>
      </c>
      <c r="T56" s="30">
        <f>MIN(1,T55/ramp_3)</f>
        <v/>
      </c>
      <c r="U56" s="30">
        <f>MIN(1,U55/ramp_3)</f>
        <v/>
      </c>
      <c r="V56" s="30">
        <f>MIN(1,V55/ramp_3)</f>
        <v/>
      </c>
      <c r="W56" s="30">
        <f>MIN(1,W55/ramp_3)</f>
        <v/>
      </c>
      <c r="X56" s="30">
        <f>MIN(1,X55/ramp_3)</f>
        <v/>
      </c>
      <c r="Y56" s="30">
        <f>MIN(1,Y55/ramp_3)</f>
        <v/>
      </c>
    </row>
    <row r="57">
      <c r="A57" s="6" t="inlineStr">
        <is>
          <t>Заказов на МП в месяц</t>
        </is>
      </c>
      <c r="B57" s="31">
        <f>mp_rev/mp_aov</f>
        <v/>
      </c>
      <c r="C57" s="31">
        <f>mp_rev/mp_aov</f>
        <v/>
      </c>
      <c r="D57" s="31">
        <f>mp_rev/mp_aov</f>
        <v/>
      </c>
      <c r="E57" s="31">
        <f>mp_rev/mp_aov</f>
        <v/>
      </c>
      <c r="F57" s="31">
        <f>mp_rev/mp_aov</f>
        <v/>
      </c>
      <c r="G57" s="31">
        <f>mp_rev/mp_aov</f>
        <v/>
      </c>
      <c r="H57" s="31">
        <f>mp_rev/mp_aov</f>
        <v/>
      </c>
      <c r="I57" s="31">
        <f>mp_rev/mp_aov</f>
        <v/>
      </c>
      <c r="J57" s="31">
        <f>mp_rev/mp_aov</f>
        <v/>
      </c>
      <c r="K57" s="31">
        <f>mp_rev/mp_aov</f>
        <v/>
      </c>
      <c r="L57" s="31">
        <f>mp_rev/mp_aov</f>
        <v/>
      </c>
      <c r="M57" s="31">
        <f>mp_rev/mp_aov</f>
        <v/>
      </c>
      <c r="N57" s="31">
        <f>mp_rev/mp_aov</f>
        <v/>
      </c>
      <c r="O57" s="31">
        <f>mp_rev/mp_aov</f>
        <v/>
      </c>
      <c r="P57" s="31">
        <f>mp_rev/mp_aov</f>
        <v/>
      </c>
      <c r="Q57" s="31">
        <f>mp_rev/mp_aov</f>
        <v/>
      </c>
      <c r="R57" s="31">
        <f>mp_rev/mp_aov</f>
        <v/>
      </c>
      <c r="S57" s="31">
        <f>mp_rev/mp_aov</f>
        <v/>
      </c>
      <c r="T57" s="31">
        <f>mp_rev/mp_aov</f>
        <v/>
      </c>
      <c r="U57" s="31">
        <f>mp_rev/mp_aov</f>
        <v/>
      </c>
      <c r="V57" s="31">
        <f>mp_rev/mp_aov</f>
        <v/>
      </c>
      <c r="W57" s="31">
        <f>mp_rev/mp_aov</f>
        <v/>
      </c>
      <c r="X57" s="31">
        <f>mp_rev/mp_aov</f>
        <v/>
      </c>
      <c r="Y57" s="31">
        <f>mp_rev/mp_aov</f>
        <v/>
      </c>
    </row>
    <row r="58">
      <c r="A58" s="6" t="inlineStr">
        <is>
          <t>Новых людей в базе (с МП + новые покупатели сайта)</t>
        </is>
      </c>
      <c r="B58" s="31">
        <f>B57*conv_base_3*B56+B61+B62+B63</f>
        <v/>
      </c>
      <c r="C58" s="31">
        <f>C57*conv_base_3*C56+C61+C62+C63</f>
        <v/>
      </c>
      <c r="D58" s="31">
        <f>D57*conv_base_3*D56+D61+D62+D63</f>
        <v/>
      </c>
      <c r="E58" s="31">
        <f>E57*conv_base_3*E56+E61+E62+E63</f>
        <v/>
      </c>
      <c r="F58" s="31">
        <f>F57*conv_base_3*F56+F61+F62+F63</f>
        <v/>
      </c>
      <c r="G58" s="31">
        <f>G57*conv_base_3*G56+G61+G62+G63</f>
        <v/>
      </c>
      <c r="H58" s="31">
        <f>H57*conv_base_3*H56+H61+H62+H63</f>
        <v/>
      </c>
      <c r="I58" s="31">
        <f>I57*conv_base_3*I56+I61+I62+I63</f>
        <v/>
      </c>
      <c r="J58" s="31">
        <f>J57*conv_base_3*J56+J61+J62+J63</f>
        <v/>
      </c>
      <c r="K58" s="31">
        <f>K57*conv_base_3*K56+K61+K62+K63</f>
        <v/>
      </c>
      <c r="L58" s="31">
        <f>L57*conv_base_3*L56+L61+L62+L63</f>
        <v/>
      </c>
      <c r="M58" s="31">
        <f>M57*conv_base_3*M56+M61+M62+M63</f>
        <v/>
      </c>
      <c r="N58" s="31">
        <f>N57*conv_base_3*N56+N61+N62+N63</f>
        <v/>
      </c>
      <c r="O58" s="31">
        <f>O57*conv_base_3*O56+O61+O62+O63</f>
        <v/>
      </c>
      <c r="P58" s="31">
        <f>P57*conv_base_3*P56+P61+P62+P63</f>
        <v/>
      </c>
      <c r="Q58" s="31">
        <f>Q57*conv_base_3*Q56+Q61+Q62+Q63</f>
        <v/>
      </c>
      <c r="R58" s="31">
        <f>R57*conv_base_3*R56+R61+R62+R63</f>
        <v/>
      </c>
      <c r="S58" s="31">
        <f>S57*conv_base_3*S56+S61+S62+S63</f>
        <v/>
      </c>
      <c r="T58" s="31">
        <f>T57*conv_base_3*T56+T61+T62+T63</f>
        <v/>
      </c>
      <c r="U58" s="31">
        <f>U57*conv_base_3*U56+U61+U62+U63</f>
        <v/>
      </c>
      <c r="V58" s="31">
        <f>V57*conv_base_3*V56+V61+V62+V63</f>
        <v/>
      </c>
      <c r="W58" s="31">
        <f>W57*conv_base_3*W56+W61+W62+W63</f>
        <v/>
      </c>
      <c r="X58" s="31">
        <f>X57*conv_base_3*X56+X61+X62+X63</f>
        <v/>
      </c>
      <c r="Y58" s="31">
        <f>Y57*conv_base_3*Y56+Y61+Y62+Y63</f>
        <v/>
      </c>
    </row>
    <row r="59">
      <c r="A59" s="6" t="inlineStr">
        <is>
          <t>База на конец месяца</t>
        </is>
      </c>
      <c r="B59" s="31">
        <f>B58</f>
        <v/>
      </c>
      <c r="C59" s="31">
        <f>B59*(1-churn_3)+C58</f>
        <v/>
      </c>
      <c r="D59" s="31">
        <f>C59*(1-churn_3)+D58</f>
        <v/>
      </c>
      <c r="E59" s="31">
        <f>D59*(1-churn_3)+E58</f>
        <v/>
      </c>
      <c r="F59" s="31">
        <f>E59*(1-churn_3)+F58</f>
        <v/>
      </c>
      <c r="G59" s="31">
        <f>F59*(1-churn_3)+G58</f>
        <v/>
      </c>
      <c r="H59" s="31">
        <f>G59*(1-churn_3)+H58</f>
        <v/>
      </c>
      <c r="I59" s="31">
        <f>H59*(1-churn_3)+I58</f>
        <v/>
      </c>
      <c r="J59" s="31">
        <f>I59*(1-churn_3)+J58</f>
        <v/>
      </c>
      <c r="K59" s="31">
        <f>J59*(1-churn_3)+K58</f>
        <v/>
      </c>
      <c r="L59" s="31">
        <f>K59*(1-churn_3)+L58</f>
        <v/>
      </c>
      <c r="M59" s="31">
        <f>L59*(1-churn_3)+M58</f>
        <v/>
      </c>
      <c r="N59" s="31">
        <f>M59*(1-churn_3)+N58</f>
        <v/>
      </c>
      <c r="O59" s="31">
        <f>N59*(1-churn_3)+O58</f>
        <v/>
      </c>
      <c r="P59" s="31">
        <f>O59*(1-churn_3)+P58</f>
        <v/>
      </c>
      <c r="Q59" s="31">
        <f>P59*(1-churn_3)+Q58</f>
        <v/>
      </c>
      <c r="R59" s="31">
        <f>Q59*(1-churn_3)+R58</f>
        <v/>
      </c>
      <c r="S59" s="31">
        <f>R59*(1-churn_3)+S58</f>
        <v/>
      </c>
      <c r="T59" s="31">
        <f>S59*(1-churn_3)+T58</f>
        <v/>
      </c>
      <c r="U59" s="31">
        <f>T59*(1-churn_3)+U58</f>
        <v/>
      </c>
      <c r="V59" s="31">
        <f>U59*(1-churn_3)+V58</f>
        <v/>
      </c>
      <c r="W59" s="31">
        <f>V59*(1-churn_3)+W58</f>
        <v/>
      </c>
      <c r="X59" s="31">
        <f>W59*(1-churn_3)+X58</f>
        <v/>
      </c>
      <c r="Y59" s="31">
        <f>X59*(1-churn_3)+Y58</f>
        <v/>
      </c>
    </row>
    <row r="60">
      <c r="A60" s="6" t="inlineStr">
        <is>
          <t>Заказы сайта: повторные из базы</t>
        </is>
      </c>
      <c r="B60" s="32">
        <f>0*freq/12*base_site_3</f>
        <v/>
      </c>
      <c r="C60" s="32">
        <f>B59*freq/12*base_site_3</f>
        <v/>
      </c>
      <c r="D60" s="32">
        <f>C59*freq/12*base_site_3</f>
        <v/>
      </c>
      <c r="E60" s="32">
        <f>D59*freq/12*base_site_3</f>
        <v/>
      </c>
      <c r="F60" s="32">
        <f>E59*freq/12*base_site_3</f>
        <v/>
      </c>
      <c r="G60" s="32">
        <f>F59*freq/12*base_site_3</f>
        <v/>
      </c>
      <c r="H60" s="32">
        <f>G59*freq/12*base_site_3</f>
        <v/>
      </c>
      <c r="I60" s="32">
        <f>H59*freq/12*base_site_3</f>
        <v/>
      </c>
      <c r="J60" s="32">
        <f>I59*freq/12*base_site_3</f>
        <v/>
      </c>
      <c r="K60" s="32">
        <f>J59*freq/12*base_site_3</f>
        <v/>
      </c>
      <c r="L60" s="32">
        <f>K59*freq/12*base_site_3</f>
        <v/>
      </c>
      <c r="M60" s="32">
        <f>L59*freq/12*base_site_3</f>
        <v/>
      </c>
      <c r="N60" s="32">
        <f>M59*freq/12*base_site_3</f>
        <v/>
      </c>
      <c r="O60" s="32">
        <f>N59*freq/12*base_site_3</f>
        <v/>
      </c>
      <c r="P60" s="32">
        <f>O59*freq/12*base_site_3</f>
        <v/>
      </c>
      <c r="Q60" s="32">
        <f>P59*freq/12*base_site_3</f>
        <v/>
      </c>
      <c r="R60" s="32">
        <f>Q59*freq/12*base_site_3</f>
        <v/>
      </c>
      <c r="S60" s="32">
        <f>R59*freq/12*base_site_3</f>
        <v/>
      </c>
      <c r="T60" s="32">
        <f>S59*freq/12*base_site_3</f>
        <v/>
      </c>
      <c r="U60" s="32">
        <f>T59*freq/12*base_site_3</f>
        <v/>
      </c>
      <c r="V60" s="32">
        <f>U59*freq/12*base_site_3</f>
        <v/>
      </c>
      <c r="W60" s="32">
        <f>V59*freq/12*base_site_3</f>
        <v/>
      </c>
      <c r="X60" s="32">
        <f>W59*freq/12*base_site_3</f>
        <v/>
      </c>
      <c r="Y60" s="32">
        <f>X59*freq/12*base_site_3</f>
        <v/>
      </c>
    </row>
    <row r="61">
      <c r="A61" s="6" t="inlineStr">
        <is>
          <t>Заказы сайта: брендовый поиск</t>
        </is>
      </c>
      <c r="B61" s="32">
        <f>wordstat*brand_share_3*B56*brand_cr_3</f>
        <v/>
      </c>
      <c r="C61" s="32">
        <f>wordstat*brand_share_3*C56*brand_cr_3</f>
        <v/>
      </c>
      <c r="D61" s="32">
        <f>wordstat*brand_share_3*D56*brand_cr_3</f>
        <v/>
      </c>
      <c r="E61" s="32">
        <f>wordstat*brand_share_3*E56*brand_cr_3</f>
        <v/>
      </c>
      <c r="F61" s="32">
        <f>wordstat*brand_share_3*F56*brand_cr_3</f>
        <v/>
      </c>
      <c r="G61" s="32">
        <f>wordstat*brand_share_3*G56*brand_cr_3</f>
        <v/>
      </c>
      <c r="H61" s="32">
        <f>wordstat*brand_share_3*H56*brand_cr_3</f>
        <v/>
      </c>
      <c r="I61" s="32">
        <f>wordstat*brand_share_3*I56*brand_cr_3</f>
        <v/>
      </c>
      <c r="J61" s="32">
        <f>wordstat*brand_share_3*J56*brand_cr_3</f>
        <v/>
      </c>
      <c r="K61" s="32">
        <f>wordstat*brand_share_3*K56*brand_cr_3</f>
        <v/>
      </c>
      <c r="L61" s="32">
        <f>wordstat*brand_share_3*L56*brand_cr_3</f>
        <v/>
      </c>
      <c r="M61" s="32">
        <f>wordstat*brand_share_3*M56*brand_cr_3</f>
        <v/>
      </c>
      <c r="N61" s="32">
        <f>wordstat*brand_share_3*N56*brand_cr_3</f>
        <v/>
      </c>
      <c r="O61" s="32">
        <f>wordstat*brand_share_3*O56*brand_cr_3</f>
        <v/>
      </c>
      <c r="P61" s="32">
        <f>wordstat*brand_share_3*P56*brand_cr_3</f>
        <v/>
      </c>
      <c r="Q61" s="32">
        <f>wordstat*brand_share_3*Q56*brand_cr_3</f>
        <v/>
      </c>
      <c r="R61" s="32">
        <f>wordstat*brand_share_3*R56*brand_cr_3</f>
        <v/>
      </c>
      <c r="S61" s="32">
        <f>wordstat*brand_share_3*S56*brand_cr_3</f>
        <v/>
      </c>
      <c r="T61" s="32">
        <f>wordstat*brand_share_3*T56*brand_cr_3</f>
        <v/>
      </c>
      <c r="U61" s="32">
        <f>wordstat*brand_share_3*U56*brand_cr_3</f>
        <v/>
      </c>
      <c r="V61" s="32">
        <f>wordstat*brand_share_3*V56*brand_cr_3</f>
        <v/>
      </c>
      <c r="W61" s="32">
        <f>wordstat*brand_share_3*W56*brand_cr_3</f>
        <v/>
      </c>
      <c r="X61" s="32">
        <f>wordstat*brand_share_3*X56*brand_cr_3</f>
        <v/>
      </c>
      <c r="Y61" s="32">
        <f>wordstat*brand_share_3*Y56*brand_cr_3</f>
        <v/>
      </c>
    </row>
    <row r="62">
      <c r="A62" s="6" t="inlineStr">
        <is>
          <t>Заказы сайта: соцсети и Telegram</t>
        </is>
      </c>
      <c r="B62" s="32">
        <f>followers*social_cr_3*B56</f>
        <v/>
      </c>
      <c r="C62" s="32">
        <f>followers*social_cr_3*C56</f>
        <v/>
      </c>
      <c r="D62" s="32">
        <f>followers*social_cr_3*D56</f>
        <v/>
      </c>
      <c r="E62" s="32">
        <f>followers*social_cr_3*E56</f>
        <v/>
      </c>
      <c r="F62" s="32">
        <f>followers*social_cr_3*F56</f>
        <v/>
      </c>
      <c r="G62" s="32">
        <f>followers*social_cr_3*G56</f>
        <v/>
      </c>
      <c r="H62" s="32">
        <f>followers*social_cr_3*H56</f>
        <v/>
      </c>
      <c r="I62" s="32">
        <f>followers*social_cr_3*I56</f>
        <v/>
      </c>
      <c r="J62" s="32">
        <f>followers*social_cr_3*J56</f>
        <v/>
      </c>
      <c r="K62" s="32">
        <f>followers*social_cr_3*K56</f>
        <v/>
      </c>
      <c r="L62" s="32">
        <f>followers*social_cr_3*L56</f>
        <v/>
      </c>
      <c r="M62" s="32">
        <f>followers*social_cr_3*M56</f>
        <v/>
      </c>
      <c r="N62" s="32">
        <f>followers*social_cr_3*N56</f>
        <v/>
      </c>
      <c r="O62" s="32">
        <f>followers*social_cr_3*O56</f>
        <v/>
      </c>
      <c r="P62" s="32">
        <f>followers*social_cr_3*P56</f>
        <v/>
      </c>
      <c r="Q62" s="32">
        <f>followers*social_cr_3*Q56</f>
        <v/>
      </c>
      <c r="R62" s="32">
        <f>followers*social_cr_3*R56</f>
        <v/>
      </c>
      <c r="S62" s="32">
        <f>followers*social_cr_3*S56</f>
        <v/>
      </c>
      <c r="T62" s="32">
        <f>followers*social_cr_3*T56</f>
        <v/>
      </c>
      <c r="U62" s="32">
        <f>followers*social_cr_3*U56</f>
        <v/>
      </c>
      <c r="V62" s="32">
        <f>followers*social_cr_3*V56</f>
        <v/>
      </c>
      <c r="W62" s="32">
        <f>followers*social_cr_3*W56</f>
        <v/>
      </c>
      <c r="X62" s="32">
        <f>followers*social_cr_3*X56</f>
        <v/>
      </c>
      <c r="Y62" s="32">
        <f>followers*social_cr_3*Y56</f>
        <v/>
      </c>
    </row>
    <row r="63">
      <c r="A63" s="6" t="inlineStr">
        <is>
          <t>Заказы сайта: Директ / VK</t>
        </is>
      </c>
      <c r="B63" s="32">
        <f>ads_budget_3/cpc_3*ads_cr_3*(0.5+0.5*B56)</f>
        <v/>
      </c>
      <c r="C63" s="32">
        <f>ads_budget_3/cpc_3*ads_cr_3*(0.5+0.5*C56)</f>
        <v/>
      </c>
      <c r="D63" s="32">
        <f>ads_budget_3/cpc_3*ads_cr_3*(0.5+0.5*D56)</f>
        <v/>
      </c>
      <c r="E63" s="32">
        <f>ads_budget_3/cpc_3*ads_cr_3*(0.5+0.5*E56)</f>
        <v/>
      </c>
      <c r="F63" s="32">
        <f>ads_budget_3/cpc_3*ads_cr_3*(0.5+0.5*F56)</f>
        <v/>
      </c>
      <c r="G63" s="32">
        <f>ads_budget_3/cpc_3*ads_cr_3*(0.5+0.5*G56)</f>
        <v/>
      </c>
      <c r="H63" s="32">
        <f>ads_budget_3/cpc_3*ads_cr_3*(0.5+0.5*H56)</f>
        <v/>
      </c>
      <c r="I63" s="32">
        <f>ads_budget_3/cpc_3*ads_cr_3*(0.5+0.5*I56)</f>
        <v/>
      </c>
      <c r="J63" s="32">
        <f>ads_budget_3/cpc_3*ads_cr_3*(0.5+0.5*J56)</f>
        <v/>
      </c>
      <c r="K63" s="32">
        <f>ads_budget_3/cpc_3*ads_cr_3*(0.5+0.5*K56)</f>
        <v/>
      </c>
      <c r="L63" s="32">
        <f>ads_budget_3/cpc_3*ads_cr_3*(0.5+0.5*L56)</f>
        <v/>
      </c>
      <c r="M63" s="32">
        <f>ads_budget_3/cpc_3*ads_cr_3*(0.5+0.5*M56)</f>
        <v/>
      </c>
      <c r="N63" s="32">
        <f>ads_budget_3/cpc_3*ads_cr_3*(0.5+0.5*N56)</f>
        <v/>
      </c>
      <c r="O63" s="32">
        <f>ads_budget_3/cpc_3*ads_cr_3*(0.5+0.5*O56)</f>
        <v/>
      </c>
      <c r="P63" s="32">
        <f>ads_budget_3/cpc_3*ads_cr_3*(0.5+0.5*P56)</f>
        <v/>
      </c>
      <c r="Q63" s="32">
        <f>ads_budget_3/cpc_3*ads_cr_3*(0.5+0.5*Q56)</f>
        <v/>
      </c>
      <c r="R63" s="32">
        <f>ads_budget_3/cpc_3*ads_cr_3*(0.5+0.5*R56)</f>
        <v/>
      </c>
      <c r="S63" s="32">
        <f>ads_budget_3/cpc_3*ads_cr_3*(0.5+0.5*S56)</f>
        <v/>
      </c>
      <c r="T63" s="32">
        <f>ads_budget_3/cpc_3*ads_cr_3*(0.5+0.5*T56)</f>
        <v/>
      </c>
      <c r="U63" s="32">
        <f>ads_budget_3/cpc_3*ads_cr_3*(0.5+0.5*U56)</f>
        <v/>
      </c>
      <c r="V63" s="32">
        <f>ads_budget_3/cpc_3*ads_cr_3*(0.5+0.5*V56)</f>
        <v/>
      </c>
      <c r="W63" s="32">
        <f>ads_budget_3/cpc_3*ads_cr_3*(0.5+0.5*W56)</f>
        <v/>
      </c>
      <c r="X63" s="32">
        <f>ads_budget_3/cpc_3*ads_cr_3*(0.5+0.5*X56)</f>
        <v/>
      </c>
      <c r="Y63" s="32">
        <f>ads_budget_3/cpc_3*ads_cr_3*(0.5+0.5*Y56)</f>
        <v/>
      </c>
    </row>
    <row r="64">
      <c r="A64" s="6" t="inlineStr">
        <is>
          <t>Заказов на сайте всего</t>
        </is>
      </c>
      <c r="B64" s="31">
        <f>B60+B61+B62+B63</f>
        <v/>
      </c>
      <c r="C64" s="31">
        <f>C60+C61+C62+C63</f>
        <v/>
      </c>
      <c r="D64" s="31">
        <f>D60+D61+D62+D63</f>
        <v/>
      </c>
      <c r="E64" s="31">
        <f>E60+E61+E62+E63</f>
        <v/>
      </c>
      <c r="F64" s="31">
        <f>F60+F61+F62+F63</f>
        <v/>
      </c>
      <c r="G64" s="31">
        <f>G60+G61+G62+G63</f>
        <v/>
      </c>
      <c r="H64" s="31">
        <f>H60+H61+H62+H63</f>
        <v/>
      </c>
      <c r="I64" s="31">
        <f>I60+I61+I62+I63</f>
        <v/>
      </c>
      <c r="J64" s="31">
        <f>J60+J61+J62+J63</f>
        <v/>
      </c>
      <c r="K64" s="31">
        <f>K60+K61+K62+K63</f>
        <v/>
      </c>
      <c r="L64" s="31">
        <f>L60+L61+L62+L63</f>
        <v/>
      </c>
      <c r="M64" s="31">
        <f>M60+M61+M62+M63</f>
        <v/>
      </c>
      <c r="N64" s="31">
        <f>N60+N61+N62+N63</f>
        <v/>
      </c>
      <c r="O64" s="31">
        <f>O60+O61+O62+O63</f>
        <v/>
      </c>
      <c r="P64" s="31">
        <f>P60+P61+P62+P63</f>
        <v/>
      </c>
      <c r="Q64" s="31">
        <f>Q60+Q61+Q62+Q63</f>
        <v/>
      </c>
      <c r="R64" s="31">
        <f>R60+R61+R62+R63</f>
        <v/>
      </c>
      <c r="S64" s="31">
        <f>S60+S61+S62+S63</f>
        <v/>
      </c>
      <c r="T64" s="31">
        <f>T60+T61+T62+T63</f>
        <v/>
      </c>
      <c r="U64" s="31">
        <f>U60+U61+U62+U63</f>
        <v/>
      </c>
      <c r="V64" s="31">
        <f>V60+V61+V62+V63</f>
        <v/>
      </c>
      <c r="W64" s="31">
        <f>W60+W61+W62+W63</f>
        <v/>
      </c>
      <c r="X64" s="31">
        <f>X60+X61+X62+X63</f>
        <v/>
      </c>
      <c r="Y64" s="31">
        <f>Y60+Y61+Y62+Y63</f>
        <v/>
      </c>
    </row>
    <row r="65">
      <c r="A65" s="6" t="inlineStr">
        <is>
          <t>Средний чек сайта, ₽</t>
        </is>
      </c>
      <c r="B65" s="33">
        <f>mp_aov*aov_k_3</f>
        <v/>
      </c>
      <c r="C65" s="33">
        <f>mp_aov*aov_k_3</f>
        <v/>
      </c>
      <c r="D65" s="33">
        <f>mp_aov*aov_k_3</f>
        <v/>
      </c>
      <c r="E65" s="33">
        <f>mp_aov*aov_k_3</f>
        <v/>
      </c>
      <c r="F65" s="33">
        <f>mp_aov*aov_k_3</f>
        <v/>
      </c>
      <c r="G65" s="33">
        <f>mp_aov*aov_k_3</f>
        <v/>
      </c>
      <c r="H65" s="33">
        <f>mp_aov*aov_k_3</f>
        <v/>
      </c>
      <c r="I65" s="33">
        <f>mp_aov*aov_k_3</f>
        <v/>
      </c>
      <c r="J65" s="33">
        <f>mp_aov*aov_k_3</f>
        <v/>
      </c>
      <c r="K65" s="33">
        <f>mp_aov*aov_k_3</f>
        <v/>
      </c>
      <c r="L65" s="33">
        <f>mp_aov*aov_k_3</f>
        <v/>
      </c>
      <c r="M65" s="33">
        <f>mp_aov*aov_k_3</f>
        <v/>
      </c>
      <c r="N65" s="33">
        <f>mp_aov*aov_k_3</f>
        <v/>
      </c>
      <c r="O65" s="33">
        <f>mp_aov*aov_k_3</f>
        <v/>
      </c>
      <c r="P65" s="33">
        <f>mp_aov*aov_k_3</f>
        <v/>
      </c>
      <c r="Q65" s="33">
        <f>mp_aov*aov_k_3</f>
        <v/>
      </c>
      <c r="R65" s="33">
        <f>mp_aov*aov_k_3</f>
        <v/>
      </c>
      <c r="S65" s="33">
        <f>mp_aov*aov_k_3</f>
        <v/>
      </c>
      <c r="T65" s="33">
        <f>mp_aov*aov_k_3</f>
        <v/>
      </c>
      <c r="U65" s="33">
        <f>mp_aov*aov_k_3</f>
        <v/>
      </c>
      <c r="V65" s="33">
        <f>mp_aov*aov_k_3</f>
        <v/>
      </c>
      <c r="W65" s="33">
        <f>mp_aov*aov_k_3</f>
        <v/>
      </c>
      <c r="X65" s="33">
        <f>mp_aov*aov_k_3</f>
        <v/>
      </c>
      <c r="Y65" s="33">
        <f>mp_aov*aov_k_3</f>
        <v/>
      </c>
    </row>
    <row r="66">
      <c r="A66" s="34" t="inlineStr">
        <is>
          <t>Выручка сайта, ₽</t>
        </is>
      </c>
      <c r="B66" s="7">
        <f>B64*B65</f>
        <v/>
      </c>
      <c r="C66" s="7">
        <f>C64*C65</f>
        <v/>
      </c>
      <c r="D66" s="7">
        <f>D64*D65</f>
        <v/>
      </c>
      <c r="E66" s="7">
        <f>E64*E65</f>
        <v/>
      </c>
      <c r="F66" s="7">
        <f>F64*F65</f>
        <v/>
      </c>
      <c r="G66" s="7">
        <f>G64*G65</f>
        <v/>
      </c>
      <c r="H66" s="7">
        <f>H64*H65</f>
        <v/>
      </c>
      <c r="I66" s="7">
        <f>I64*I65</f>
        <v/>
      </c>
      <c r="J66" s="7">
        <f>J64*J65</f>
        <v/>
      </c>
      <c r="K66" s="7">
        <f>K64*K65</f>
        <v/>
      </c>
      <c r="L66" s="7">
        <f>L64*L65</f>
        <v/>
      </c>
      <c r="M66" s="7">
        <f>M64*M65</f>
        <v/>
      </c>
      <c r="N66" s="7">
        <f>N64*N65</f>
        <v/>
      </c>
      <c r="O66" s="7">
        <f>O64*O65</f>
        <v/>
      </c>
      <c r="P66" s="7">
        <f>P64*P65</f>
        <v/>
      </c>
      <c r="Q66" s="7">
        <f>Q64*Q65</f>
        <v/>
      </c>
      <c r="R66" s="7">
        <f>R64*R65</f>
        <v/>
      </c>
      <c r="S66" s="7">
        <f>S64*S65</f>
        <v/>
      </c>
      <c r="T66" s="7">
        <f>T64*T65</f>
        <v/>
      </c>
      <c r="U66" s="7">
        <f>U64*U65</f>
        <v/>
      </c>
      <c r="V66" s="7">
        <f>V64*V65</f>
        <v/>
      </c>
      <c r="W66" s="7">
        <f>W64*W65</f>
        <v/>
      </c>
      <c r="X66" s="7">
        <f>X64*X65</f>
        <v/>
      </c>
      <c r="Y66" s="7">
        <f>Y64*Y65</f>
        <v/>
      </c>
    </row>
    <row r="67">
      <c r="A67" s="6" t="inlineStr">
        <is>
          <t xml:space="preserve">  в т.ч. новые деньги (прирост оборота), ₽</t>
        </is>
      </c>
      <c r="B67" s="33">
        <f>B66*incr_3</f>
        <v/>
      </c>
      <c r="C67" s="33">
        <f>C66*incr_3</f>
        <v/>
      </c>
      <c r="D67" s="33">
        <f>D66*incr_3</f>
        <v/>
      </c>
      <c r="E67" s="33">
        <f>E66*incr_3</f>
        <v/>
      </c>
      <c r="F67" s="33">
        <f>F66*incr_3</f>
        <v/>
      </c>
      <c r="G67" s="33">
        <f>G66*incr_3</f>
        <v/>
      </c>
      <c r="H67" s="33">
        <f>H66*incr_3</f>
        <v/>
      </c>
      <c r="I67" s="33">
        <f>I66*incr_3</f>
        <v/>
      </c>
      <c r="J67" s="33">
        <f>J66*incr_3</f>
        <v/>
      </c>
      <c r="K67" s="33">
        <f>K66*incr_3</f>
        <v/>
      </c>
      <c r="L67" s="33">
        <f>L66*incr_3</f>
        <v/>
      </c>
      <c r="M67" s="33">
        <f>M66*incr_3</f>
        <v/>
      </c>
      <c r="N67" s="33">
        <f>N66*incr_3</f>
        <v/>
      </c>
      <c r="O67" s="33">
        <f>O66*incr_3</f>
        <v/>
      </c>
      <c r="P67" s="33">
        <f>P66*incr_3</f>
        <v/>
      </c>
      <c r="Q67" s="33">
        <f>Q66*incr_3</f>
        <v/>
      </c>
      <c r="R67" s="33">
        <f>R66*incr_3</f>
        <v/>
      </c>
      <c r="S67" s="33">
        <f>S66*incr_3</f>
        <v/>
      </c>
      <c r="T67" s="33">
        <f>T66*incr_3</f>
        <v/>
      </c>
      <c r="U67" s="33">
        <f>U66*incr_3</f>
        <v/>
      </c>
      <c r="V67" s="33">
        <f>V66*incr_3</f>
        <v/>
      </c>
      <c r="W67" s="33">
        <f>W66*incr_3</f>
        <v/>
      </c>
      <c r="X67" s="33">
        <f>X66*incr_3</f>
        <v/>
      </c>
      <c r="Y67" s="33">
        <f>Y66*incr_3</f>
        <v/>
      </c>
    </row>
    <row r="68">
      <c r="A68" s="6" t="inlineStr">
        <is>
          <t xml:space="preserve">  в т.ч. перешло с МП, ₽</t>
        </is>
      </c>
      <c r="B68" s="33">
        <f>B66-B67</f>
        <v/>
      </c>
      <c r="C68" s="33">
        <f>C66-C67</f>
        <v/>
      </c>
      <c r="D68" s="33">
        <f>D66-D67</f>
        <v/>
      </c>
      <c r="E68" s="33">
        <f>E66-E67</f>
        <v/>
      </c>
      <c r="F68" s="33">
        <f>F66-F67</f>
        <v/>
      </c>
      <c r="G68" s="33">
        <f>G66-G67</f>
        <v/>
      </c>
      <c r="H68" s="33">
        <f>H66-H67</f>
        <v/>
      </c>
      <c r="I68" s="33">
        <f>I66-I67</f>
        <v/>
      </c>
      <c r="J68" s="33">
        <f>J66-J67</f>
        <v/>
      </c>
      <c r="K68" s="33">
        <f>K66-K67</f>
        <v/>
      </c>
      <c r="L68" s="33">
        <f>L66-L67</f>
        <v/>
      </c>
      <c r="M68" s="33">
        <f>M66-M67</f>
        <v/>
      </c>
      <c r="N68" s="33">
        <f>N66-N67</f>
        <v/>
      </c>
      <c r="O68" s="33">
        <f>O66-O67</f>
        <v/>
      </c>
      <c r="P68" s="33">
        <f>P66-P67</f>
        <v/>
      </c>
      <c r="Q68" s="33">
        <f>Q66-Q67</f>
        <v/>
      </c>
      <c r="R68" s="33">
        <f>R66-R67</f>
        <v/>
      </c>
      <c r="S68" s="33">
        <f>S66-S67</f>
        <v/>
      </c>
      <c r="T68" s="33">
        <f>T66-T67</f>
        <v/>
      </c>
      <c r="U68" s="33">
        <f>U66-U67</f>
        <v/>
      </c>
      <c r="V68" s="33">
        <f>V66-V67</f>
        <v/>
      </c>
      <c r="W68" s="33">
        <f>W66-W67</f>
        <v/>
      </c>
      <c r="X68" s="33">
        <f>X66-X67</f>
        <v/>
      </c>
      <c r="Y68" s="33">
        <f>Y66-Y67</f>
        <v/>
      </c>
    </row>
    <row r="69">
      <c r="A69" s="34" t="inlineStr">
        <is>
          <t>Доля сайта в общем обороте</t>
        </is>
      </c>
      <c r="B69" s="35">
        <f>B66/(mp_rev-B68+B66)</f>
        <v/>
      </c>
      <c r="C69" s="35">
        <f>C66/(mp_rev-C68+C66)</f>
        <v/>
      </c>
      <c r="D69" s="35">
        <f>D66/(mp_rev-D68+D66)</f>
        <v/>
      </c>
      <c r="E69" s="35">
        <f>E66/(mp_rev-E68+E66)</f>
        <v/>
      </c>
      <c r="F69" s="35">
        <f>F66/(mp_rev-F68+F66)</f>
        <v/>
      </c>
      <c r="G69" s="35">
        <f>G66/(mp_rev-G68+G66)</f>
        <v/>
      </c>
      <c r="H69" s="35">
        <f>H66/(mp_rev-H68+H66)</f>
        <v/>
      </c>
      <c r="I69" s="35">
        <f>I66/(mp_rev-I68+I66)</f>
        <v/>
      </c>
      <c r="J69" s="35">
        <f>J66/(mp_rev-J68+J66)</f>
        <v/>
      </c>
      <c r="K69" s="35">
        <f>K66/(mp_rev-K68+K66)</f>
        <v/>
      </c>
      <c r="L69" s="35">
        <f>L66/(mp_rev-L68+L66)</f>
        <v/>
      </c>
      <c r="M69" s="35">
        <f>M66/(mp_rev-M68+M66)</f>
        <v/>
      </c>
      <c r="N69" s="35">
        <f>N66/(mp_rev-N68+N66)</f>
        <v/>
      </c>
      <c r="O69" s="35">
        <f>O66/(mp_rev-O68+O66)</f>
        <v/>
      </c>
      <c r="P69" s="35">
        <f>P66/(mp_rev-P68+P66)</f>
        <v/>
      </c>
      <c r="Q69" s="35">
        <f>Q66/(mp_rev-Q68+Q66)</f>
        <v/>
      </c>
      <c r="R69" s="35">
        <f>R66/(mp_rev-R68+R66)</f>
        <v/>
      </c>
      <c r="S69" s="35">
        <f>S66/(mp_rev-S68+S66)</f>
        <v/>
      </c>
      <c r="T69" s="35">
        <f>T66/(mp_rev-T68+T66)</f>
        <v/>
      </c>
      <c r="U69" s="35">
        <f>U66/(mp_rev-U68+U66)</f>
        <v/>
      </c>
      <c r="V69" s="35">
        <f>V66/(mp_rev-V68+V66)</f>
        <v/>
      </c>
      <c r="W69" s="35">
        <f>W66/(mp_rev-W68+W66)</f>
        <v/>
      </c>
      <c r="X69" s="35">
        <f>X66/(mp_rev-X68+X66)</f>
        <v/>
      </c>
      <c r="Y69" s="35">
        <f>Y66/(mp_rev-Y68+Y66)</f>
        <v/>
      </c>
    </row>
    <row r="70">
      <c r="A70" s="6" t="inlineStr">
        <is>
          <t>Расходы сайта (без себестоимости), ₽</t>
        </is>
      </c>
      <c r="B70" s="33">
        <f>B66*acq+B64*(ship+pick)+B60*B65*crm_pct+B61*B65*brand_cost+ads_budget_3+platform</f>
        <v/>
      </c>
      <c r="C70" s="33">
        <f>C66*acq+C64*(ship+pick)+C60*C65*crm_pct+C61*C65*brand_cost+ads_budget_3+platform</f>
        <v/>
      </c>
      <c r="D70" s="33">
        <f>D66*acq+D64*(ship+pick)+D60*D65*crm_pct+D61*D65*brand_cost+ads_budget_3+platform</f>
        <v/>
      </c>
      <c r="E70" s="33">
        <f>E66*acq+E64*(ship+pick)+E60*E65*crm_pct+E61*E65*brand_cost+ads_budget_3+platform</f>
        <v/>
      </c>
      <c r="F70" s="33">
        <f>F66*acq+F64*(ship+pick)+F60*F65*crm_pct+F61*F65*brand_cost+ads_budget_3+platform</f>
        <v/>
      </c>
      <c r="G70" s="33">
        <f>G66*acq+G64*(ship+pick)+G60*G65*crm_pct+G61*G65*brand_cost+ads_budget_3+platform</f>
        <v/>
      </c>
      <c r="H70" s="33">
        <f>H66*acq+H64*(ship+pick)+H60*H65*crm_pct+H61*H65*brand_cost+ads_budget_3+platform</f>
        <v/>
      </c>
      <c r="I70" s="33">
        <f>I66*acq+I64*(ship+pick)+I60*I65*crm_pct+I61*I65*brand_cost+ads_budget_3+platform</f>
        <v/>
      </c>
      <c r="J70" s="33">
        <f>J66*acq+J64*(ship+pick)+J60*J65*crm_pct+J61*J65*brand_cost+ads_budget_3+platform</f>
        <v/>
      </c>
      <c r="K70" s="33">
        <f>K66*acq+K64*(ship+pick)+K60*K65*crm_pct+K61*K65*brand_cost+ads_budget_3+platform</f>
        <v/>
      </c>
      <c r="L70" s="33">
        <f>L66*acq+L64*(ship+pick)+L60*L65*crm_pct+L61*L65*brand_cost+ads_budget_3+platform</f>
        <v/>
      </c>
      <c r="M70" s="33">
        <f>M66*acq+M64*(ship+pick)+M60*M65*crm_pct+M61*M65*brand_cost+ads_budget_3+platform</f>
        <v/>
      </c>
      <c r="N70" s="33">
        <f>N66*acq+N64*(ship+pick)+N60*N65*crm_pct+N61*N65*brand_cost+ads_budget_3+platform</f>
        <v/>
      </c>
      <c r="O70" s="33">
        <f>O66*acq+O64*(ship+pick)+O60*O65*crm_pct+O61*O65*brand_cost+ads_budget_3+platform</f>
        <v/>
      </c>
      <c r="P70" s="33">
        <f>P66*acq+P64*(ship+pick)+P60*P65*crm_pct+P61*P65*brand_cost+ads_budget_3+platform</f>
        <v/>
      </c>
      <c r="Q70" s="33">
        <f>Q66*acq+Q64*(ship+pick)+Q60*Q65*crm_pct+Q61*Q65*brand_cost+ads_budget_3+platform</f>
        <v/>
      </c>
      <c r="R70" s="33">
        <f>R66*acq+R64*(ship+pick)+R60*R65*crm_pct+R61*R65*brand_cost+ads_budget_3+platform</f>
        <v/>
      </c>
      <c r="S70" s="33">
        <f>S66*acq+S64*(ship+pick)+S60*S65*crm_pct+S61*S65*brand_cost+ads_budget_3+platform</f>
        <v/>
      </c>
      <c r="T70" s="33">
        <f>T66*acq+T64*(ship+pick)+T60*T65*crm_pct+T61*T65*brand_cost+ads_budget_3+platform</f>
        <v/>
      </c>
      <c r="U70" s="33">
        <f>U66*acq+U64*(ship+pick)+U60*U65*crm_pct+U61*U65*brand_cost+ads_budget_3+platform</f>
        <v/>
      </c>
      <c r="V70" s="33">
        <f>V66*acq+V64*(ship+pick)+V60*V65*crm_pct+V61*V65*brand_cost+ads_budget_3+platform</f>
        <v/>
      </c>
      <c r="W70" s="33">
        <f>W66*acq+W64*(ship+pick)+W60*W65*crm_pct+W61*W65*brand_cost+ads_budget_3+platform</f>
        <v/>
      </c>
      <c r="X70" s="33">
        <f>X66*acq+X64*(ship+pick)+X60*X65*crm_pct+X61*X65*brand_cost+ads_budget_3+platform</f>
        <v/>
      </c>
      <c r="Y70" s="33">
        <f>Y66*acq+Y64*(ship+pick)+Y60*Y65*crm_pct+Y61*Y65*brand_cost+ads_budget_3+platform</f>
        <v/>
      </c>
    </row>
    <row r="71">
      <c r="A71" s="6" t="inlineStr">
        <is>
          <t>Расходы сайта, % выручки</t>
        </is>
      </c>
      <c r="B71" s="30">
        <f>IF(B66=0,0,B70/B66)</f>
        <v/>
      </c>
      <c r="C71" s="30">
        <f>IF(C66=0,0,C70/C66)</f>
        <v/>
      </c>
      <c r="D71" s="30">
        <f>IF(D66=0,0,D70/D66)</f>
        <v/>
      </c>
      <c r="E71" s="30">
        <f>IF(E66=0,0,E70/E66)</f>
        <v/>
      </c>
      <c r="F71" s="30">
        <f>IF(F66=0,0,F70/F66)</f>
        <v/>
      </c>
      <c r="G71" s="30">
        <f>IF(G66=0,0,G70/G66)</f>
        <v/>
      </c>
      <c r="H71" s="30">
        <f>IF(H66=0,0,H70/H66)</f>
        <v/>
      </c>
      <c r="I71" s="30">
        <f>IF(I66=0,0,I70/I66)</f>
        <v/>
      </c>
      <c r="J71" s="30">
        <f>IF(J66=0,0,J70/J66)</f>
        <v/>
      </c>
      <c r="K71" s="30">
        <f>IF(K66=0,0,K70/K66)</f>
        <v/>
      </c>
      <c r="L71" s="30">
        <f>IF(L66=0,0,L70/L66)</f>
        <v/>
      </c>
      <c r="M71" s="30">
        <f>IF(M66=0,0,M70/M66)</f>
        <v/>
      </c>
      <c r="N71" s="30">
        <f>IF(N66=0,0,N70/N66)</f>
        <v/>
      </c>
      <c r="O71" s="30">
        <f>IF(O66=0,0,O70/O66)</f>
        <v/>
      </c>
      <c r="P71" s="30">
        <f>IF(P66=0,0,P70/P66)</f>
        <v/>
      </c>
      <c r="Q71" s="30">
        <f>IF(Q66=0,0,Q70/Q66)</f>
        <v/>
      </c>
      <c r="R71" s="30">
        <f>IF(R66=0,0,R70/R66)</f>
        <v/>
      </c>
      <c r="S71" s="30">
        <f>IF(S66=0,0,S70/S66)</f>
        <v/>
      </c>
      <c r="T71" s="30">
        <f>IF(T66=0,0,T70/T66)</f>
        <v/>
      </c>
      <c r="U71" s="30">
        <f>IF(U66=0,0,U70/U66)</f>
        <v/>
      </c>
      <c r="V71" s="30">
        <f>IF(V66=0,0,V70/V66)</f>
        <v/>
      </c>
      <c r="W71" s="30">
        <f>IF(W66=0,0,W70/W66)</f>
        <v/>
      </c>
      <c r="X71" s="30">
        <f>IF(X66=0,0,X70/X66)</f>
        <v/>
      </c>
      <c r="Y71" s="30">
        <f>IF(Y66=0,0,Y70/Y66)</f>
        <v/>
      </c>
    </row>
    <row r="72">
      <c r="A72" s="6" t="inlineStr">
        <is>
          <t>Наши услуги, ₽</t>
        </is>
      </c>
      <c r="B72" s="33">
        <f>svc_setup+svc_month+B66*svc_pct</f>
        <v/>
      </c>
      <c r="C72" s="33">
        <f>svc_month+C66*svc_pct</f>
        <v/>
      </c>
      <c r="D72" s="33">
        <f>svc_month+D66*svc_pct</f>
        <v/>
      </c>
      <c r="E72" s="33">
        <f>svc_month+E66*svc_pct</f>
        <v/>
      </c>
      <c r="F72" s="33">
        <f>svc_month+F66*svc_pct</f>
        <v/>
      </c>
      <c r="G72" s="33">
        <f>svc_month+G66*svc_pct</f>
        <v/>
      </c>
      <c r="H72" s="33">
        <f>svc_month+H66*svc_pct</f>
        <v/>
      </c>
      <c r="I72" s="33">
        <f>svc_month+I66*svc_pct</f>
        <v/>
      </c>
      <c r="J72" s="33">
        <f>svc_month+J66*svc_pct</f>
        <v/>
      </c>
      <c r="K72" s="33">
        <f>svc_month+K66*svc_pct</f>
        <v/>
      </c>
      <c r="L72" s="33">
        <f>svc_month+L66*svc_pct</f>
        <v/>
      </c>
      <c r="M72" s="33">
        <f>svc_month+M66*svc_pct</f>
        <v/>
      </c>
      <c r="N72" s="33">
        <f>svc_month+N66*svc_pct</f>
        <v/>
      </c>
      <c r="O72" s="33">
        <f>svc_month+O66*svc_pct</f>
        <v/>
      </c>
      <c r="P72" s="33">
        <f>svc_month+P66*svc_pct</f>
        <v/>
      </c>
      <c r="Q72" s="33">
        <f>svc_month+Q66*svc_pct</f>
        <v/>
      </c>
      <c r="R72" s="33">
        <f>svc_month+R66*svc_pct</f>
        <v/>
      </c>
      <c r="S72" s="33">
        <f>svc_month+S66*svc_pct</f>
        <v/>
      </c>
      <c r="T72" s="33">
        <f>svc_month+T66*svc_pct</f>
        <v/>
      </c>
      <c r="U72" s="33">
        <f>svc_month+U66*svc_pct</f>
        <v/>
      </c>
      <c r="V72" s="33">
        <f>svc_month+V66*svc_pct</f>
        <v/>
      </c>
      <c r="W72" s="33">
        <f>svc_month+W66*svc_pct</f>
        <v/>
      </c>
      <c r="X72" s="33">
        <f>svc_month+X66*svc_pct</f>
        <v/>
      </c>
      <c r="Y72" s="33">
        <f>svc_month+Y66*svc_pct</f>
        <v/>
      </c>
    </row>
    <row r="73">
      <c r="A73" s="6" t="inlineStr">
        <is>
          <t>Маржа сайта после себестоимости и расходов, ₽</t>
        </is>
      </c>
      <c r="B73" s="33">
        <f>B66*(1-cogs)-B70-B72</f>
        <v/>
      </c>
      <c r="C73" s="33">
        <f>C66*(1-cogs)-C70-C72</f>
        <v/>
      </c>
      <c r="D73" s="33">
        <f>D66*(1-cogs)-D70-D72</f>
        <v/>
      </c>
      <c r="E73" s="33">
        <f>E66*(1-cogs)-E70-E72</f>
        <v/>
      </c>
      <c r="F73" s="33">
        <f>F66*(1-cogs)-F70-F72</f>
        <v/>
      </c>
      <c r="G73" s="33">
        <f>G66*(1-cogs)-G70-G72</f>
        <v/>
      </c>
      <c r="H73" s="33">
        <f>H66*(1-cogs)-H70-H72</f>
        <v/>
      </c>
      <c r="I73" s="33">
        <f>I66*(1-cogs)-I70-I72</f>
        <v/>
      </c>
      <c r="J73" s="33">
        <f>J66*(1-cogs)-J70-J72</f>
        <v/>
      </c>
      <c r="K73" s="33">
        <f>K66*(1-cogs)-K70-K72</f>
        <v/>
      </c>
      <c r="L73" s="33">
        <f>L66*(1-cogs)-L70-L72</f>
        <v/>
      </c>
      <c r="M73" s="33">
        <f>M66*(1-cogs)-M70-M72</f>
        <v/>
      </c>
      <c r="N73" s="33">
        <f>N66*(1-cogs)-N70-N72</f>
        <v/>
      </c>
      <c r="O73" s="33">
        <f>O66*(1-cogs)-O70-O72</f>
        <v/>
      </c>
      <c r="P73" s="33">
        <f>P66*(1-cogs)-P70-P72</f>
        <v/>
      </c>
      <c r="Q73" s="33">
        <f>Q66*(1-cogs)-Q70-Q72</f>
        <v/>
      </c>
      <c r="R73" s="33">
        <f>R66*(1-cogs)-R70-R72</f>
        <v/>
      </c>
      <c r="S73" s="33">
        <f>S66*(1-cogs)-S70-S72</f>
        <v/>
      </c>
      <c r="T73" s="33">
        <f>T66*(1-cogs)-T70-T72</f>
        <v/>
      </c>
      <c r="U73" s="33">
        <f>U66*(1-cogs)-U70-U72</f>
        <v/>
      </c>
      <c r="V73" s="33">
        <f>V66*(1-cogs)-V70-V72</f>
        <v/>
      </c>
      <c r="W73" s="33">
        <f>W66*(1-cogs)-W70-W72</f>
        <v/>
      </c>
      <c r="X73" s="33">
        <f>X66*(1-cogs)-X70-X72</f>
        <v/>
      </c>
      <c r="Y73" s="33">
        <f>Y66*(1-cogs)-Y70-Y72</f>
        <v/>
      </c>
    </row>
    <row r="74">
      <c r="A74" s="6" t="inlineStr">
        <is>
          <t>Маржа, которую эти заказы дали бы на МП, ₽</t>
        </is>
      </c>
      <c r="B74" s="33">
        <f>B68*(1-cogs-mp_take)</f>
        <v/>
      </c>
      <c r="C74" s="33">
        <f>C68*(1-cogs-mp_take)</f>
        <v/>
      </c>
      <c r="D74" s="33">
        <f>D68*(1-cogs-mp_take)</f>
        <v/>
      </c>
      <c r="E74" s="33">
        <f>E68*(1-cogs-mp_take)</f>
        <v/>
      </c>
      <c r="F74" s="33">
        <f>F68*(1-cogs-mp_take)</f>
        <v/>
      </c>
      <c r="G74" s="33">
        <f>G68*(1-cogs-mp_take)</f>
        <v/>
      </c>
      <c r="H74" s="33">
        <f>H68*(1-cogs-mp_take)</f>
        <v/>
      </c>
      <c r="I74" s="33">
        <f>I68*(1-cogs-mp_take)</f>
        <v/>
      </c>
      <c r="J74" s="33">
        <f>J68*(1-cogs-mp_take)</f>
        <v/>
      </c>
      <c r="K74" s="33">
        <f>K68*(1-cogs-mp_take)</f>
        <v/>
      </c>
      <c r="L74" s="33">
        <f>L68*(1-cogs-mp_take)</f>
        <v/>
      </c>
      <c r="M74" s="33">
        <f>M68*(1-cogs-mp_take)</f>
        <v/>
      </c>
      <c r="N74" s="33">
        <f>N68*(1-cogs-mp_take)</f>
        <v/>
      </c>
      <c r="O74" s="33">
        <f>O68*(1-cogs-mp_take)</f>
        <v/>
      </c>
      <c r="P74" s="33">
        <f>P68*(1-cogs-mp_take)</f>
        <v/>
      </c>
      <c r="Q74" s="33">
        <f>Q68*(1-cogs-mp_take)</f>
        <v/>
      </c>
      <c r="R74" s="33">
        <f>R68*(1-cogs-mp_take)</f>
        <v/>
      </c>
      <c r="S74" s="33">
        <f>S68*(1-cogs-mp_take)</f>
        <v/>
      </c>
      <c r="T74" s="33">
        <f>T68*(1-cogs-mp_take)</f>
        <v/>
      </c>
      <c r="U74" s="33">
        <f>U68*(1-cogs-mp_take)</f>
        <v/>
      </c>
      <c r="V74" s="33">
        <f>V68*(1-cogs-mp_take)</f>
        <v/>
      </c>
      <c r="W74" s="33">
        <f>W68*(1-cogs-mp_take)</f>
        <v/>
      </c>
      <c r="X74" s="33">
        <f>X68*(1-cogs-mp_take)</f>
        <v/>
      </c>
      <c r="Y74" s="33">
        <f>Y68*(1-cogs-mp_take)</f>
        <v/>
      </c>
    </row>
    <row r="75">
      <c r="A75" s="34" t="inlineStr">
        <is>
          <t>Чистый эффект для селлера, ₽</t>
        </is>
      </c>
      <c r="B75" s="7">
        <f>B73-B74</f>
        <v/>
      </c>
      <c r="C75" s="7">
        <f>C73-C74</f>
        <v/>
      </c>
      <c r="D75" s="7">
        <f>D73-D74</f>
        <v/>
      </c>
      <c r="E75" s="7">
        <f>E73-E74</f>
        <v/>
      </c>
      <c r="F75" s="7">
        <f>F73-F74</f>
        <v/>
      </c>
      <c r="G75" s="7">
        <f>G73-G74</f>
        <v/>
      </c>
      <c r="H75" s="7">
        <f>H73-H74</f>
        <v/>
      </c>
      <c r="I75" s="7">
        <f>I73-I74</f>
        <v/>
      </c>
      <c r="J75" s="7">
        <f>J73-J74</f>
        <v/>
      </c>
      <c r="K75" s="7">
        <f>K73-K74</f>
        <v/>
      </c>
      <c r="L75" s="7">
        <f>L73-L74</f>
        <v/>
      </c>
      <c r="M75" s="7">
        <f>M73-M74</f>
        <v/>
      </c>
      <c r="N75" s="7">
        <f>N73-N74</f>
        <v/>
      </c>
      <c r="O75" s="7">
        <f>O73-O74</f>
        <v/>
      </c>
      <c r="P75" s="7">
        <f>P73-P74</f>
        <v/>
      </c>
      <c r="Q75" s="7">
        <f>Q73-Q74</f>
        <v/>
      </c>
      <c r="R75" s="7">
        <f>R73-R74</f>
        <v/>
      </c>
      <c r="S75" s="7">
        <f>S73-S74</f>
        <v/>
      </c>
      <c r="T75" s="7">
        <f>T73-T74</f>
        <v/>
      </c>
      <c r="U75" s="7">
        <f>U73-U74</f>
        <v/>
      </c>
      <c r="V75" s="7">
        <f>V73-V74</f>
        <v/>
      </c>
      <c r="W75" s="7">
        <f>W73-W74</f>
        <v/>
      </c>
      <c r="X75" s="7">
        <f>X73-X74</f>
        <v/>
      </c>
      <c r="Y75" s="7">
        <f>Y73-Y74</f>
        <v/>
      </c>
    </row>
    <row r="76">
      <c r="A76" s="6" t="inlineStr">
        <is>
          <t>Нарастающим итогом, ₽</t>
        </is>
      </c>
      <c r="B76" s="33">
        <f>B75</f>
        <v/>
      </c>
      <c r="C76" s="33">
        <f>B76+C75</f>
        <v/>
      </c>
      <c r="D76" s="33">
        <f>C76+D75</f>
        <v/>
      </c>
      <c r="E76" s="33">
        <f>D76+E75</f>
        <v/>
      </c>
      <c r="F76" s="33">
        <f>E76+F75</f>
        <v/>
      </c>
      <c r="G76" s="33">
        <f>F76+G75</f>
        <v/>
      </c>
      <c r="H76" s="33">
        <f>G76+H75</f>
        <v/>
      </c>
      <c r="I76" s="33">
        <f>H76+I75</f>
        <v/>
      </c>
      <c r="J76" s="33">
        <f>I76+J75</f>
        <v/>
      </c>
      <c r="K76" s="33">
        <f>J76+K75</f>
        <v/>
      </c>
      <c r="L76" s="33">
        <f>K76+L75</f>
        <v/>
      </c>
      <c r="M76" s="33">
        <f>L76+M75</f>
        <v/>
      </c>
      <c r="N76" s="33">
        <f>M76+N75</f>
        <v/>
      </c>
      <c r="O76" s="33">
        <f>N76+O75</f>
        <v/>
      </c>
      <c r="P76" s="33">
        <f>O76+P75</f>
        <v/>
      </c>
      <c r="Q76" s="33">
        <f>P76+Q75</f>
        <v/>
      </c>
      <c r="R76" s="33">
        <f>Q76+R75</f>
        <v/>
      </c>
      <c r="S76" s="33">
        <f>R76+S75</f>
        <v/>
      </c>
      <c r="T76" s="33">
        <f>S76+T75</f>
        <v/>
      </c>
      <c r="U76" s="33">
        <f>T76+U75</f>
        <v/>
      </c>
      <c r="V76" s="33">
        <f>U76+V75</f>
        <v/>
      </c>
      <c r="W76" s="33">
        <f>V76+W75</f>
        <v/>
      </c>
      <c r="X76" s="33">
        <f>W76+X75</f>
        <v/>
      </c>
      <c r="Y76" s="33">
        <f>X76+Y75</f>
        <v/>
      </c>
    </row>
    <row r="77">
      <c r="A77" s="6" t="inlineStr">
        <is>
          <t>Окупилось (1 = да)</t>
        </is>
      </c>
      <c r="B77" s="36">
        <f>IF(B76&gt;0,1,0)</f>
        <v/>
      </c>
      <c r="C77" s="36">
        <f>IF(C76&gt;0,1,0)</f>
        <v/>
      </c>
      <c r="D77" s="36">
        <f>IF(D76&gt;0,1,0)</f>
        <v/>
      </c>
      <c r="E77" s="36">
        <f>IF(E76&gt;0,1,0)</f>
        <v/>
      </c>
      <c r="F77" s="36">
        <f>IF(F76&gt;0,1,0)</f>
        <v/>
      </c>
      <c r="G77" s="36">
        <f>IF(G76&gt;0,1,0)</f>
        <v/>
      </c>
      <c r="H77" s="36">
        <f>IF(H76&gt;0,1,0)</f>
        <v/>
      </c>
      <c r="I77" s="36">
        <f>IF(I76&gt;0,1,0)</f>
        <v/>
      </c>
      <c r="J77" s="36">
        <f>IF(J76&gt;0,1,0)</f>
        <v/>
      </c>
      <c r="K77" s="36">
        <f>IF(K76&gt;0,1,0)</f>
        <v/>
      </c>
      <c r="L77" s="36">
        <f>IF(L76&gt;0,1,0)</f>
        <v/>
      </c>
      <c r="M77" s="36">
        <f>IF(M76&gt;0,1,0)</f>
        <v/>
      </c>
      <c r="N77" s="36">
        <f>IF(N76&gt;0,1,0)</f>
        <v/>
      </c>
      <c r="O77" s="36">
        <f>IF(O76&gt;0,1,0)</f>
        <v/>
      </c>
      <c r="P77" s="36">
        <f>IF(P76&gt;0,1,0)</f>
        <v/>
      </c>
      <c r="Q77" s="36">
        <f>IF(Q76&gt;0,1,0)</f>
        <v/>
      </c>
      <c r="R77" s="36">
        <f>IF(R76&gt;0,1,0)</f>
        <v/>
      </c>
      <c r="S77" s="36">
        <f>IF(S76&gt;0,1,0)</f>
        <v/>
      </c>
      <c r="T77" s="36">
        <f>IF(T76&gt;0,1,0)</f>
        <v/>
      </c>
      <c r="U77" s="36">
        <f>IF(U76&gt;0,1,0)</f>
        <v/>
      </c>
      <c r="V77" s="36">
        <f>IF(V76&gt;0,1,0)</f>
        <v/>
      </c>
      <c r="W77" s="36">
        <f>IF(W76&gt;0,1,0)</f>
        <v/>
      </c>
      <c r="X77" s="36">
        <f>IF(X76&gt;0,1,0)</f>
        <v/>
      </c>
      <c r="Y77" s="36">
        <f>IF(Y76&gt;0,1,0)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18" customWidth="1" min="3" max="3"/>
    <col width="40" customWidth="1" min="4" max="4"/>
  </cols>
  <sheetData>
    <row r="1">
      <c r="A1" s="27" t="inlineStr">
        <is>
          <t>Рыночные цифры для разговора (проверены на 06.10.2026)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Цифра</t>
        </is>
      </c>
      <c r="B3" s="4" t="inlineStr">
        <is>
          <t>Значение</t>
        </is>
      </c>
      <c r="C3" s="4" t="inlineStr">
        <is>
          <t>Тип</t>
        </is>
      </c>
      <c r="D3" s="4" t="inlineStr">
        <is>
          <t>Источник</t>
        </is>
      </c>
    </row>
    <row r="4">
      <c r="A4" s="6" t="inlineStr">
        <is>
          <t>Доля выручки, которую удерживают WB/Ozon/ЯМ</t>
        </is>
      </c>
      <c r="B4" s="6" t="inlineStr">
        <is>
          <t>20% → 42% за 1,5 года</t>
        </is>
      </c>
      <c r="C4" s="6" t="inlineStr">
        <is>
          <t>оценка</t>
        </is>
      </c>
      <c r="D4" s="6" t="inlineStr">
        <is>
          <t>Финансист, RB.ru 25.09.2026</t>
        </is>
      </c>
    </row>
    <row r="5">
      <c r="A5" s="6" t="inlineStr">
        <is>
          <t>Рост комиссий 2023–2025</t>
        </is>
      </c>
      <c r="B5" s="6" t="inlineStr">
        <is>
          <t>WB +58%, Ozon +63%</t>
        </is>
      </c>
      <c r="C5" s="6" t="inlineStr">
        <is>
          <t>оценка</t>
        </is>
      </c>
      <c r="D5" s="6" t="inlineStr">
        <is>
          <t>АПЭТ/Mpstats, Коммерсант 19.02.2026</t>
        </is>
      </c>
    </row>
    <row r="6">
      <c r="A6" s="6" t="inlineStr">
        <is>
          <t>Рентабельность селлеров</t>
        </is>
      </c>
      <c r="B6" s="6" t="inlineStr">
        <is>
          <t>15% → 5%, к декабрю около 3%</t>
        </is>
      </c>
      <c r="C6" s="6" t="inlineStr">
        <is>
          <t>оценка</t>
        </is>
      </c>
      <c r="D6" s="6" t="inlineStr">
        <is>
          <t>Market Papa, Коммерсант 26.08.2026</t>
        </is>
      </c>
    </row>
    <row r="7">
      <c r="A7" s="6" t="inlineStr">
        <is>
          <t>Комиссия Ozon с 06.04.2026</t>
        </is>
      </c>
      <c r="B7" s="6" t="inlineStr">
        <is>
          <t>до 55%, одежда 43–48%</t>
        </is>
      </c>
      <c r="C7" s="6" t="inlineStr">
        <is>
          <t>факт</t>
        </is>
      </c>
      <c r="D7" s="6" t="inlineStr">
        <is>
          <t>Ведомости 03.02.2026</t>
        </is>
      </c>
    </row>
    <row r="8">
      <c r="A8" s="6" t="inlineStr">
        <is>
          <t>Комиссия WB с 07.07.2026</t>
        </is>
      </c>
      <c r="B8" s="6" t="inlineStr">
        <is>
          <t>+5 п.п. склад WB, +6 FBS, +20 витрина</t>
        </is>
      </c>
      <c r="C8" s="6" t="inlineStr">
        <is>
          <t>факт</t>
        </is>
      </c>
      <c r="D8" s="6" t="inlineStr">
        <is>
          <t>Коммерсант 07.07.2026</t>
        </is>
      </c>
    </row>
    <row r="9">
      <c r="A9" s="6" t="inlineStr">
        <is>
          <t>Срок выплат WB</t>
        </is>
      </c>
      <c r="B9" s="6" t="inlineStr">
        <is>
          <t>около месяца, досрочно −4%</t>
        </is>
      </c>
      <c r="C9" s="6" t="inlineStr">
        <is>
          <t>факт</t>
        </is>
      </c>
      <c r="D9" s="6" t="inlineStr">
        <is>
          <t>Коммерсант 02.04.2026</t>
        </is>
      </c>
    </row>
    <row r="10">
      <c r="A10" s="6" t="inlineStr">
        <is>
          <t>Атакованные склады WB, лето 2026</t>
        </is>
      </c>
      <c r="B10" s="6" t="inlineStr">
        <is>
          <t>17–22% площадей</t>
        </is>
      </c>
      <c r="C10" s="6" t="inlineStr">
        <is>
          <t>оценка</t>
        </is>
      </c>
      <c r="D10" s="6" t="inlineStr">
        <is>
          <t>Forbes / mail.ru</t>
        </is>
      </c>
    </row>
    <row r="11">
      <c r="A11" s="6" t="inlineStr">
        <is>
          <t>Первые выплаты WB за потерянный товар</t>
        </is>
      </c>
      <c r="B11" s="6" t="inlineStr">
        <is>
          <t>5–10% себестоимости</t>
        </is>
      </c>
      <c r="C11" s="6" t="inlineStr">
        <is>
          <t>факт</t>
        </is>
      </c>
      <c r="D11" s="6" t="inlineStr">
        <is>
          <t>vbr.ru 24.07.2026</t>
        </is>
      </c>
    </row>
    <row r="12">
      <c r="A12" s="6" t="inlineStr">
        <is>
          <t>Полная компенсация WB</t>
        </is>
      </c>
      <c r="B12" s="6" t="inlineStr">
        <is>
          <t>только при ущербе до 500 тыс. ₽</t>
        </is>
      </c>
      <c r="C12" s="6" t="inlineStr">
        <is>
          <t>факт</t>
        </is>
      </c>
      <c r="D12" s="6" t="inlineStr">
        <is>
          <t>msk1.ru 18.09.2026</t>
        </is>
      </c>
    </row>
    <row r="13">
      <c r="A13" s="6" t="inlineStr">
        <is>
          <t>Рост независимого e-com в 2026</t>
        </is>
      </c>
      <c r="B13" s="6" t="inlineStr">
        <is>
          <t>+25,8% против около +10% у МП</t>
        </is>
      </c>
      <c r="C13" s="6" t="inlineStr">
        <is>
          <t>факт (прогноз)</t>
        </is>
      </c>
      <c r="D13" s="6" t="inlineStr">
        <is>
          <t>INFOLine, Коммерсант 01.10.2026</t>
        </is>
      </c>
    </row>
    <row r="14">
      <c r="A14" s="6" t="inlineStr">
        <is>
          <t>Селлеры WB, рассматривающие свой сайт</t>
        </is>
      </c>
      <c r="B14" s="6" t="inlineStr">
        <is>
          <t>41,9%</t>
        </is>
      </c>
      <c r="C14" s="6" t="inlineStr">
        <is>
          <t>факт по пересказам</t>
        </is>
      </c>
      <c r="D14" s="6" t="inlineStr">
        <is>
          <t>Forbes, опрос 1–3.08.2026</t>
        </is>
      </c>
    </row>
    <row r="15">
      <c r="A15" s="6" t="inlineStr">
        <is>
          <t>Селлеры с работающим сайтом</t>
        </is>
      </c>
      <c r="B15" s="6" t="inlineStr">
        <is>
          <t>около 5%</t>
        </is>
      </c>
      <c r="C15" s="6" t="inlineStr">
        <is>
          <t>оценка</t>
        </is>
      </c>
      <c r="D15" s="6" t="inlineStr">
        <is>
          <t>ТПП, Ведомости 27.05.2026</t>
        </is>
      </c>
    </row>
    <row r="16">
      <c r="A16" s="6" t="inlineStr">
        <is>
          <t>Доля сайта у продавцов, запустивших его</t>
        </is>
      </c>
      <c r="B16" s="6" t="inlineStr">
        <is>
          <t>у половины больше 30%</t>
        </is>
      </c>
      <c r="C16" s="6" t="inlineStr">
        <is>
          <t>вендор</t>
        </is>
      </c>
      <c r="D16" s="6" t="inlineStr">
        <is>
          <t>Т-Банк, 2023</t>
        </is>
      </c>
    </row>
    <row r="17">
      <c r="A17" s="6" t="inlineStr">
        <is>
          <t>Маркетплейсы в выручке селлеров от 1 млн/мес</t>
        </is>
      </c>
      <c r="B17" s="6" t="inlineStr">
        <is>
          <t>89–100% у 64%</t>
        </is>
      </c>
      <c r="C17" s="6" t="inlineStr">
        <is>
          <t>факт</t>
        </is>
      </c>
      <c r="D17" s="6" t="inlineStr">
        <is>
          <t>Точка × Data Insight, 2025</t>
        </is>
      </c>
    </row>
    <row r="18">
      <c r="A18" s="6" t="inlineStr">
        <is>
          <t>Возвраты: сайт против маркетплейса</t>
        </is>
      </c>
      <c r="B18" s="6" t="inlineStr">
        <is>
          <t>около 30% против около 70%</t>
        </is>
      </c>
      <c r="C18" s="6" t="inlineStr">
        <is>
          <t>кейс</t>
        </is>
      </c>
      <c r="D18" s="6" t="inlineStr">
        <is>
          <t>Rivernord, biz360 16.04.2025</t>
        </is>
      </c>
    </row>
    <row r="19">
      <c r="A19" s="6" t="inlineStr">
        <is>
          <t>CRM-канал в выручке магазина</t>
        </is>
      </c>
      <c r="B19" s="6" t="inlineStr">
        <is>
          <t>8–27%</t>
        </is>
      </c>
      <c r="C19" s="6" t="inlineStr">
        <is>
          <t>кейсы вендора</t>
        </is>
      </c>
      <c r="D19" s="6" t="inlineStr">
        <is>
          <t>Mindbox</t>
        </is>
      </c>
    </row>
    <row r="20">
      <c r="A20" s="6" t="inlineStr">
        <is>
          <t>Клик в Директе на поиске</t>
        </is>
      </c>
      <c r="B20" s="6" t="inlineStr">
        <is>
          <t>44 ₽</t>
        </is>
      </c>
      <c r="C20" s="6" t="inlineStr">
        <is>
          <t>факт</t>
        </is>
      </c>
      <c r="D20" s="6" t="inlineStr">
        <is>
          <t>click.ru, 2 кв. 2026</t>
        </is>
      </c>
    </row>
    <row r="21">
      <c r="A21" s="6" t="inlineStr">
        <is>
          <t>Доставка до ПВЗ</t>
        </is>
      </c>
      <c r="B21" s="6" t="inlineStr">
        <is>
          <t>Яндекс от 99 ₽, Ozon от 123 ₽, СДЭК от 250 ₽</t>
        </is>
      </c>
      <c r="C21" s="6" t="inlineStr">
        <is>
          <t>факт</t>
        </is>
      </c>
      <c r="D21" s="6" t="inlineStr">
        <is>
          <t>New Retail 10.07.2026</t>
        </is>
      </c>
    </row>
    <row r="22">
      <c r="A22" s="6" t="inlineStr">
        <is>
          <t>«Телодвижения»: выручка</t>
        </is>
      </c>
      <c r="B22" s="6" t="inlineStr">
        <is>
          <t>2021: 102 млн → 2024: 4,7 млрд → 2025: &gt;7 млрд ₽</t>
        </is>
      </c>
      <c r="C22" s="6" t="inlineStr">
        <is>
          <t>факт</t>
        </is>
      </c>
      <c r="D22" s="6" t="inlineStr">
        <is>
          <t>Business Vector; Forbes 30 до 30, 05.2026</t>
        </is>
      </c>
    </row>
    <row r="23">
      <c r="A23" s="6" t="inlineStr">
        <is>
          <t>«Телодвижения»: свой сайт</t>
        </is>
      </c>
      <c r="B23" s="6" t="inlineStr">
        <is>
          <t>запущен только в 03.2026, доля не раскрыта</t>
        </is>
      </c>
      <c r="C23" s="6" t="inlineStr">
        <is>
          <t>факт</t>
        </is>
      </c>
      <c r="D23" s="6" t="inlineStr">
        <is>
          <t>Sostav, блог бренда 11.03.2026</t>
        </is>
      </c>
    </row>
    <row r="24">
      <c r="A24" s="6" t="inlineStr">
        <is>
          <t>Bungly (детская одежда)</t>
        </is>
      </c>
      <c r="B24" s="6" t="inlineStr">
        <is>
          <t>маркетплейсы 56% продаж, свой сайт + франшиза</t>
        </is>
      </c>
      <c r="C24" s="6" t="inlineStr">
        <is>
          <t>факт</t>
        </is>
      </c>
      <c r="D24" s="6" t="inlineStr">
        <is>
          <t>shoppers.media</t>
        </is>
      </c>
    </row>
    <row r="25">
      <c r="A25" s="6" t="inlineStr">
        <is>
          <t>Штраф WB за «бонус за отзыв» во вкладыше</t>
        </is>
      </c>
      <c r="B25" s="6" t="inlineStr">
        <is>
          <t>50 000 ₽ за факт</t>
        </is>
      </c>
      <c r="C25" s="6" t="inlineStr">
        <is>
          <t>факт</t>
        </is>
      </c>
      <c r="D25" s="6" t="inlineStr">
        <is>
          <t>Перечень штрафов WB с 01.10.2026</t>
        </is>
      </c>
    </row>
    <row r="26">
      <c r="A26" s="6" t="inlineStr">
        <is>
          <t>Адрес своего сайта в чате WB</t>
        </is>
      </c>
      <c r="B26" s="6" t="inlineStr">
        <is>
          <t>разрешён (Telegram и соцсети — нет, штраф 25 000 ₽)</t>
        </is>
      </c>
      <c r="C26" s="6" t="inlineStr">
        <is>
          <t>факт</t>
        </is>
      </c>
      <c r="D26" s="6" t="inlineStr">
        <is>
          <t>Перечень штрафов WB, п.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2026-10-06T12:40:39Z</dcterms:created>
  <dcterms:modified xmlns:dcterms="http://purl.org/dc/terms/" xmlns:xsi="http://www.w3.org/2001/XMLSchema-instance" xsi:type="dcterms:W3CDTF">2026-10-06T12:40:39Z</dcterms:modified>
</cp:coreProperties>
</file>