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П" sheetId="1" state="visible" r:id="rId1"/>
    <sheet xmlns:r="http://schemas.openxmlformats.org/officeDocument/2006/relationships" name="Рас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 &quot;₽&quot;"/>
    <numFmt numFmtId="165" formatCode="0.0"/>
    <numFmt numFmtId="166" formatCode="0.0%"/>
  </numFmts>
  <fonts count="14">
    <font>
      <name val="Calibri"/>
      <family val="2"/>
      <color theme="1"/>
      <sz val="11"/>
      <scheme val="minor"/>
    </font>
    <font>
      <name val="Arial"/>
      <b val="1"/>
      <color rgb="00000000"/>
      <sz val="16"/>
    </font>
    <font>
      <name val="Arial"/>
      <i val="1"/>
      <color rgb="00808080"/>
      <sz val="10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0000FF"/>
      <sz val="10"/>
    </font>
    <font>
      <name val="Arial"/>
      <i val="1"/>
      <color rgb="00808080"/>
      <sz val="9"/>
    </font>
    <font>
      <name val="Arial"/>
      <color rgb="00595959"/>
      <sz val="10"/>
    </font>
    <font>
      <name val="Arial"/>
      <color rgb="00595959"/>
      <sz val="9"/>
    </font>
    <font>
      <name val="Arial"/>
      <i val="1"/>
      <color rgb="00808080"/>
      <sz val="8"/>
    </font>
    <font>
      <name val="Arial"/>
      <b val="1"/>
      <color rgb="00000000"/>
      <sz val="12"/>
    </font>
    <font>
      <name val="Arial"/>
      <b val="1"/>
      <color rgb="00000000"/>
      <sz val="10"/>
    </font>
    <font>
      <name val="Arial"/>
      <b val="1"/>
      <color rgb="00375623"/>
      <sz val="13"/>
    </font>
    <font>
      <name val="Arial"/>
      <color rgb="00404040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right"/>
    </xf>
    <xf numFmtId="0" fontId="6" fillId="0" borderId="0" pivotButton="0" quotePrefix="0" xfId="0"/>
    <xf numFmtId="164" fontId="5" fillId="3" borderId="1" applyAlignment="1" pivotButton="0" quotePrefix="0" xfId="0">
      <alignment horizontal="right"/>
    </xf>
    <xf numFmtId="3" fontId="5" fillId="3" borderId="1" applyAlignment="1" pivotButton="0" quotePrefix="0" xfId="0">
      <alignment horizontal="right"/>
    </xf>
    <xf numFmtId="165" fontId="5" fillId="3" borderId="1" applyAlignment="1" pivotButton="0" quotePrefix="0" xfId="0">
      <alignment horizontal="right"/>
    </xf>
    <xf numFmtId="164" fontId="4" fillId="0" borderId="0" applyAlignment="1" pivotButton="0" quotePrefix="0" xfId="0">
      <alignment horizontal="right"/>
    </xf>
    <xf numFmtId="0" fontId="10" fillId="5" borderId="0" pivotButton="0" quotePrefix="0" xfId="0"/>
    <xf numFmtId="9" fontId="12" fillId="5" borderId="0" applyAlignment="1" pivotButton="0" quotePrefix="0" xfId="0">
      <alignment horizontal="right"/>
    </xf>
    <xf numFmtId="164" fontId="12" fillId="5" borderId="0" applyAlignment="1" pivotButton="0" quotePrefix="0" xfId="0">
      <alignment horizontal="right"/>
    </xf>
    <xf numFmtId="3" fontId="4" fillId="0" borderId="0" applyAlignment="1" pivotButton="0" quotePrefix="0" xfId="0">
      <alignment horizontal="right"/>
    </xf>
    <xf numFmtId="0" fontId="11" fillId="0" borderId="0" pivotButton="0" quotePrefix="0" xfId="0"/>
    <xf numFmtId="0" fontId="13" fillId="0" borderId="0" pivotButton="0" quotePrefix="0" xfId="0"/>
    <xf numFmtId="0" fontId="8" fillId="0" borderId="0" pivotButton="0" quotePrefix="0" xfId="0"/>
    <xf numFmtId="166" fontId="8" fillId="4" borderId="1" applyAlignment="1" pivotButton="0" quotePrefix="0" xfId="0">
      <alignment horizontal="right"/>
    </xf>
    <xf numFmtId="9" fontId="8" fillId="4" borderId="1" applyAlignment="1" pivotButton="0" quotePrefix="0" xfId="0">
      <alignment horizontal="right"/>
    </xf>
    <xf numFmtId="1" fontId="8" fillId="4" borderId="1" applyAlignment="1" pivotButton="0" quotePrefix="0" xfId="0">
      <alignment horizontal="right"/>
    </xf>
    <xf numFmtId="0" fontId="9" fillId="0" borderId="0" pivotButton="0" quotePrefix="0" xfId="0"/>
    <xf numFmtId="0" fontId="10" fillId="0" borderId="0" pivotButton="0" quotePrefix="0" xfId="0"/>
    <xf numFmtId="1" fontId="11" fillId="0" borderId="0" pivotButton="0" quotePrefix="0" xfId="0"/>
    <xf numFmtId="9" fontId="4" fillId="0" borderId="0" pivotButton="0" quotePrefix="0" xfId="0"/>
    <xf numFmtId="3" fontId="4" fillId="0" borderId="0" pivotButton="0" quotePrefix="0" xfId="0"/>
    <xf numFmtId="164" fontId="11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6" customWidth="1" min="3" max="3"/>
  </cols>
  <sheetData>
    <row r="1">
      <c r="A1" s="1">
        <f>"Свой интернет-магазин для "&amp;B5</f>
        <v/>
      </c>
    </row>
    <row r="2">
      <c r="A2" s="2" t="inlineStr">
        <is>
          <t>Расчёт на ваших цифрах</t>
        </is>
      </c>
    </row>
    <row r="4">
      <c r="A4" s="3" t="inlineStr">
        <is>
          <t>Данные бренда</t>
        </is>
      </c>
      <c r="B4" s="4" t="n"/>
      <c r="C4" s="4" t="n"/>
    </row>
    <row r="5">
      <c r="A5" s="5" t="inlineStr">
        <is>
          <t>Бренд</t>
        </is>
      </c>
      <c r="B5" s="6" t="inlineStr">
        <is>
          <t>Пример бренда</t>
        </is>
      </c>
      <c r="C5" s="7" t="inlineStr"/>
    </row>
    <row r="6">
      <c r="A6" s="5" t="inlineStr">
        <is>
          <t>Оборот, ₽/мес</t>
        </is>
      </c>
      <c r="B6" s="8" t="n">
        <v>5000000</v>
      </c>
      <c r="C6" s="7" t="inlineStr"/>
    </row>
    <row r="7">
      <c r="A7" s="5" t="inlineStr">
        <is>
          <t>Средний чек, ₽</t>
        </is>
      </c>
      <c r="B7" s="8" t="n">
        <v>2500</v>
      </c>
      <c r="C7" s="7" t="inlineStr"/>
    </row>
    <row r="8">
      <c r="A8" s="5" t="inlineStr">
        <is>
          <t>Запросы бренда в Яндексе, в мес</t>
        </is>
      </c>
      <c r="B8" s="9" t="n">
        <v>10000</v>
      </c>
      <c r="C8" s="7" t="inlineStr">
        <is>
          <t>wordstat.yandex.ru</t>
        </is>
      </c>
    </row>
    <row r="9">
      <c r="A9" s="5" t="inlineStr">
        <is>
          <t>Подписчики в соцсетях и Telegram</t>
        </is>
      </c>
      <c r="B9" s="9" t="n">
        <v>20000</v>
      </c>
      <c r="C9" s="7" t="inlineStr"/>
    </row>
    <row r="10">
      <c r="A10" s="5" t="inlineStr">
        <is>
          <t>Покупок одного клиента в год</t>
        </is>
      </c>
      <c r="B10" s="10" t="n">
        <v>3</v>
      </c>
      <c r="C10" s="7" t="inlineStr">
        <is>
          <t>Одежда 2–3, косметика 4–6</t>
        </is>
      </c>
    </row>
    <row r="12">
      <c r="A12" s="3" t="inlineStr">
        <is>
          <t>Что даст свой интернет-магазин</t>
        </is>
      </c>
      <c r="B12" s="4" t="n"/>
      <c r="C12" s="4" t="n"/>
    </row>
    <row r="13">
      <c r="A13" s="5" t="inlineStr">
        <is>
          <t>Выручка магазина через год, ₽/мес</t>
        </is>
      </c>
      <c r="B13" s="11">
        <f>Расчёт!M11</f>
        <v/>
      </c>
    </row>
    <row r="14">
      <c r="A14" s="5" t="inlineStr">
        <is>
          <t>Выручка магазина через 2 года, ₽/мес</t>
        </is>
      </c>
      <c r="B14" s="11">
        <f>Расчёт!Y11</f>
        <v/>
      </c>
    </row>
    <row r="15">
      <c r="A15" s="12" t="inlineStr">
        <is>
          <t>Прибавка к обороту через 2 года</t>
        </is>
      </c>
      <c r="B15" s="13">
        <f>Расчёт!Y11/КП!$B$6</f>
        <v/>
      </c>
    </row>
    <row r="16">
      <c r="A16" s="12" t="inlineStr">
        <is>
          <t>Дополнительная выручка за 2 года, ₽</t>
        </is>
      </c>
      <c r="B16" s="14">
        <f>Расчёт!Y12</f>
        <v/>
      </c>
    </row>
    <row r="17">
      <c r="A17" s="12" t="inlineStr">
        <is>
          <t>Не уйдёт в комиссии маркетплейса за 2 года, ₽</t>
        </is>
      </c>
      <c r="B17" s="14">
        <f>Расчёт!Y12*КП!$B$33</f>
        <v/>
      </c>
    </row>
    <row r="18">
      <c r="A18" s="5" t="inlineStr">
        <is>
          <t>Покупателей в своей базе через 2 года</t>
        </is>
      </c>
      <c r="B18" s="15">
        <f>Расчёт!Y6</f>
        <v/>
      </c>
    </row>
    <row r="20">
      <c r="A20" s="16" t="inlineStr">
        <is>
          <t>Почему сейчас</t>
        </is>
      </c>
    </row>
    <row r="21">
      <c r="A21" s="17" t="inlineStr">
        <is>
          <t>• Маркетплейсы удерживают уже около 42% выручки продавца — полтора года назад было около 20%.</t>
        </is>
      </c>
    </row>
    <row r="22">
      <c r="A22" s="17" t="inlineStr">
        <is>
          <t>• Летом 2026 пострадали склады с товаром больше 400 тыс. продавцов; полная компенсация — только до 500 тыс. ₽.</t>
        </is>
      </c>
    </row>
    <row r="23">
      <c r="A23" s="17" t="inlineStr">
        <is>
          <t>• Свои интернет-магазины в 2026 году растут на 25,8%, маркетплейсы — около 10% (INFOLine).</t>
        </is>
      </c>
    </row>
    <row r="24">
      <c r="A24" s="3" t="inlineStr">
        <is>
          <t>Допущения (базовый сценарий, можно не трогать)</t>
        </is>
      </c>
      <c r="B24" s="4" t="n"/>
      <c r="C24" s="4" t="n"/>
    </row>
    <row r="25">
      <c r="A25" s="18" t="inlineStr">
        <is>
          <t>Покупатели, перешедшие в свою базу (QR, гарантия, чат), % заказов</t>
        </is>
      </c>
      <c r="B25" s="19" t="n">
        <v>0.03</v>
      </c>
      <c r="C25" s="7" t="inlineStr"/>
    </row>
    <row r="26">
      <c r="A26" s="18" t="inlineStr">
        <is>
          <t>Повторные покупки базы, сделанные на сайте</t>
        </is>
      </c>
      <c r="B26" s="20" t="n">
        <v>0.35</v>
      </c>
      <c r="C26" s="7" t="inlineStr"/>
    </row>
    <row r="27">
      <c r="A27" s="18" t="inlineStr">
        <is>
          <t>Отток базы в месяц</t>
        </is>
      </c>
      <c r="B27" s="20" t="n">
        <v>0.05</v>
      </c>
      <c r="C27" s="7" t="inlineStr"/>
    </row>
    <row r="28">
      <c r="A28" s="18" t="inlineStr">
        <is>
          <t>Доля поиска бренда, которую забирает сайт</t>
        </is>
      </c>
      <c r="B28" s="20" t="n">
        <v>0.2</v>
      </c>
      <c r="C28" s="7" t="inlineStr"/>
    </row>
    <row r="29">
      <c r="A29" s="18" t="inlineStr">
        <is>
          <t>Конверсия поиска бренда в заказ</t>
        </is>
      </c>
      <c r="B29" s="19" t="n">
        <v>0.03</v>
      </c>
      <c r="C29" s="7" t="inlineStr"/>
    </row>
    <row r="30">
      <c r="A30" s="18" t="inlineStr">
        <is>
          <t>Подписчики, покупающие на сайте в месяц</t>
        </is>
      </c>
      <c r="B30" s="19" t="n">
        <v>0.004</v>
      </c>
      <c r="C30" s="7" t="inlineStr"/>
    </row>
    <row r="31">
      <c r="A31" s="18" t="inlineStr">
        <is>
          <t>Средний чек на сайте к текущему</t>
        </is>
      </c>
      <c r="B31" s="20" t="n">
        <v>1.1</v>
      </c>
      <c r="C31" s="7" t="inlineStr"/>
    </row>
    <row r="32">
      <c r="A32" s="18" t="inlineStr">
        <is>
          <t>Месяцев до выхода на полную мощность</t>
        </is>
      </c>
      <c r="B32" s="21" t="n">
        <v>6</v>
      </c>
      <c r="C32" s="7" t="inlineStr"/>
    </row>
    <row r="33">
      <c r="A33" s="18" t="inlineStr">
        <is>
          <t>Комиссии и расходы маркетплейса, % выручки</t>
        </is>
      </c>
      <c r="B33" s="20" t="n">
        <v>0.42</v>
      </c>
      <c r="C33" s="7" t="inlineStr"/>
    </row>
    <row r="34">
      <c r="A34" s="22" t="inlineStr">
        <is>
          <t>Комиссии маркетплейсов: 42% выручки по данным сервиса «Финансист» (RB.ru, 25.09.2026).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>
      <c r="A1" s="23" t="inlineStr">
        <is>
          <t>Помесячный расчёт, базовый сценарий</t>
        </is>
      </c>
    </row>
    <row r="3">
      <c r="A3" s="16" t="inlineStr">
        <is>
          <t>Месяц</t>
        </is>
      </c>
      <c r="B3" s="24" t="n">
        <v>1</v>
      </c>
      <c r="C3" s="24" t="n">
        <v>2</v>
      </c>
      <c r="D3" s="24" t="n">
        <v>3</v>
      </c>
      <c r="E3" s="24" t="n">
        <v>4</v>
      </c>
      <c r="F3" s="24" t="n">
        <v>5</v>
      </c>
      <c r="G3" s="24" t="n">
        <v>6</v>
      </c>
      <c r="H3" s="24" t="n">
        <v>7</v>
      </c>
      <c r="I3" s="24" t="n">
        <v>8</v>
      </c>
      <c r="J3" s="24" t="n">
        <v>9</v>
      </c>
      <c r="K3" s="24" t="n">
        <v>10</v>
      </c>
      <c r="L3" s="24" t="n">
        <v>11</v>
      </c>
      <c r="M3" s="24" t="n">
        <v>12</v>
      </c>
      <c r="N3" s="24" t="n">
        <v>13</v>
      </c>
      <c r="O3" s="24" t="n">
        <v>14</v>
      </c>
      <c r="P3" s="24" t="n">
        <v>15</v>
      </c>
      <c r="Q3" s="24" t="n">
        <v>16</v>
      </c>
      <c r="R3" s="24" t="n">
        <v>17</v>
      </c>
      <c r="S3" s="24" t="n">
        <v>18</v>
      </c>
      <c r="T3" s="24" t="n">
        <v>19</v>
      </c>
      <c r="U3" s="24" t="n">
        <v>20</v>
      </c>
      <c r="V3" s="24" t="n">
        <v>21</v>
      </c>
      <c r="W3" s="24" t="n">
        <v>22</v>
      </c>
      <c r="X3" s="24" t="n">
        <v>23</v>
      </c>
      <c r="Y3" s="24" t="n">
        <v>24</v>
      </c>
    </row>
    <row r="4">
      <c r="A4" s="5" t="inlineStr">
        <is>
          <t>Разгон</t>
        </is>
      </c>
      <c r="B4" s="25">
        <f>MIN(1,B3/КП!$B$32)</f>
        <v/>
      </c>
      <c r="C4" s="25">
        <f>MIN(1,C3/КП!$B$32)</f>
        <v/>
      </c>
      <c r="D4" s="25">
        <f>MIN(1,D3/КП!$B$32)</f>
        <v/>
      </c>
      <c r="E4" s="25">
        <f>MIN(1,E3/КП!$B$32)</f>
        <v/>
      </c>
      <c r="F4" s="25">
        <f>MIN(1,F3/КП!$B$32)</f>
        <v/>
      </c>
      <c r="G4" s="25">
        <f>MIN(1,G3/КП!$B$32)</f>
        <v/>
      </c>
      <c r="H4" s="25">
        <f>MIN(1,H3/КП!$B$32)</f>
        <v/>
      </c>
      <c r="I4" s="25">
        <f>MIN(1,I3/КП!$B$32)</f>
        <v/>
      </c>
      <c r="J4" s="25">
        <f>MIN(1,J3/КП!$B$32)</f>
        <v/>
      </c>
      <c r="K4" s="25">
        <f>MIN(1,K3/КП!$B$32)</f>
        <v/>
      </c>
      <c r="L4" s="25">
        <f>MIN(1,L3/КП!$B$32)</f>
        <v/>
      </c>
      <c r="M4" s="25">
        <f>MIN(1,M3/КП!$B$32)</f>
        <v/>
      </c>
      <c r="N4" s="25">
        <f>MIN(1,N3/КП!$B$32)</f>
        <v/>
      </c>
      <c r="O4" s="25">
        <f>MIN(1,O3/КП!$B$32)</f>
        <v/>
      </c>
      <c r="P4" s="25">
        <f>MIN(1,P3/КП!$B$32)</f>
        <v/>
      </c>
      <c r="Q4" s="25">
        <f>MIN(1,Q3/КП!$B$32)</f>
        <v/>
      </c>
      <c r="R4" s="25">
        <f>MIN(1,R3/КП!$B$32)</f>
        <v/>
      </c>
      <c r="S4" s="25">
        <f>MIN(1,S3/КП!$B$32)</f>
        <v/>
      </c>
      <c r="T4" s="25">
        <f>MIN(1,T3/КП!$B$32)</f>
        <v/>
      </c>
      <c r="U4" s="25">
        <f>MIN(1,U3/КП!$B$32)</f>
        <v/>
      </c>
      <c r="V4" s="25">
        <f>MIN(1,V3/КП!$B$32)</f>
        <v/>
      </c>
      <c r="W4" s="25">
        <f>MIN(1,W3/КП!$B$32)</f>
        <v/>
      </c>
      <c r="X4" s="25">
        <f>MIN(1,X3/КП!$B$32)</f>
        <v/>
      </c>
      <c r="Y4" s="25">
        <f>MIN(1,Y3/КП!$B$32)</f>
        <v/>
      </c>
    </row>
    <row r="5">
      <c r="A5" s="5" t="inlineStr">
        <is>
          <t>Новые в базе</t>
        </is>
      </c>
      <c r="B5" s="26">
        <f>КП!$B$6/КП!$B$7*КП!$B$25*B4+B8+B9</f>
        <v/>
      </c>
      <c r="C5" s="26">
        <f>КП!$B$6/КП!$B$7*КП!$B$25*C4+C8+C9</f>
        <v/>
      </c>
      <c r="D5" s="26">
        <f>КП!$B$6/КП!$B$7*КП!$B$25*D4+D8+D9</f>
        <v/>
      </c>
      <c r="E5" s="26">
        <f>КП!$B$6/КП!$B$7*КП!$B$25*E4+E8+E9</f>
        <v/>
      </c>
      <c r="F5" s="26">
        <f>КП!$B$6/КП!$B$7*КП!$B$25*F4+F8+F9</f>
        <v/>
      </c>
      <c r="G5" s="26">
        <f>КП!$B$6/КП!$B$7*КП!$B$25*G4+G8+G9</f>
        <v/>
      </c>
      <c r="H5" s="26">
        <f>КП!$B$6/КП!$B$7*КП!$B$25*H4+H8+H9</f>
        <v/>
      </c>
      <c r="I5" s="26">
        <f>КП!$B$6/КП!$B$7*КП!$B$25*I4+I8+I9</f>
        <v/>
      </c>
      <c r="J5" s="26">
        <f>КП!$B$6/КП!$B$7*КП!$B$25*J4+J8+J9</f>
        <v/>
      </c>
      <c r="K5" s="26">
        <f>КП!$B$6/КП!$B$7*КП!$B$25*K4+K8+K9</f>
        <v/>
      </c>
      <c r="L5" s="26">
        <f>КП!$B$6/КП!$B$7*КП!$B$25*L4+L8+L9</f>
        <v/>
      </c>
      <c r="M5" s="26">
        <f>КП!$B$6/КП!$B$7*КП!$B$25*M4+M8+M9</f>
        <v/>
      </c>
      <c r="N5" s="26">
        <f>КП!$B$6/КП!$B$7*КП!$B$25*N4+N8+N9</f>
        <v/>
      </c>
      <c r="O5" s="26">
        <f>КП!$B$6/КП!$B$7*КП!$B$25*O4+O8+O9</f>
        <v/>
      </c>
      <c r="P5" s="26">
        <f>КП!$B$6/КП!$B$7*КП!$B$25*P4+P8+P9</f>
        <v/>
      </c>
      <c r="Q5" s="26">
        <f>КП!$B$6/КП!$B$7*КП!$B$25*Q4+Q8+Q9</f>
        <v/>
      </c>
      <c r="R5" s="26">
        <f>КП!$B$6/КП!$B$7*КП!$B$25*R4+R8+R9</f>
        <v/>
      </c>
      <c r="S5" s="26">
        <f>КП!$B$6/КП!$B$7*КП!$B$25*S4+S8+S9</f>
        <v/>
      </c>
      <c r="T5" s="26">
        <f>КП!$B$6/КП!$B$7*КП!$B$25*T4+T8+T9</f>
        <v/>
      </c>
      <c r="U5" s="26">
        <f>КП!$B$6/КП!$B$7*КП!$B$25*U4+U8+U9</f>
        <v/>
      </c>
      <c r="V5" s="26">
        <f>КП!$B$6/КП!$B$7*КП!$B$25*V4+V8+V9</f>
        <v/>
      </c>
      <c r="W5" s="26">
        <f>КП!$B$6/КП!$B$7*КП!$B$25*W4+W8+W9</f>
        <v/>
      </c>
      <c r="X5" s="26">
        <f>КП!$B$6/КП!$B$7*КП!$B$25*X4+X8+X9</f>
        <v/>
      </c>
      <c r="Y5" s="26">
        <f>КП!$B$6/КП!$B$7*КП!$B$25*Y4+Y8+Y9</f>
        <v/>
      </c>
    </row>
    <row r="6">
      <c r="A6" s="5" t="inlineStr">
        <is>
          <t>База</t>
        </is>
      </c>
      <c r="B6" s="26">
        <f>B5</f>
        <v/>
      </c>
      <c r="C6" s="26">
        <f>B6*(1-КП!$B$27)+C5</f>
        <v/>
      </c>
      <c r="D6" s="26">
        <f>C6*(1-КП!$B$27)+D5</f>
        <v/>
      </c>
      <c r="E6" s="26">
        <f>D6*(1-КП!$B$27)+E5</f>
        <v/>
      </c>
      <c r="F6" s="26">
        <f>E6*(1-КП!$B$27)+F5</f>
        <v/>
      </c>
      <c r="G6" s="26">
        <f>F6*(1-КП!$B$27)+G5</f>
        <v/>
      </c>
      <c r="H6" s="26">
        <f>G6*(1-КП!$B$27)+H5</f>
        <v/>
      </c>
      <c r="I6" s="26">
        <f>H6*(1-КП!$B$27)+I5</f>
        <v/>
      </c>
      <c r="J6" s="26">
        <f>I6*(1-КП!$B$27)+J5</f>
        <v/>
      </c>
      <c r="K6" s="26">
        <f>J6*(1-КП!$B$27)+K5</f>
        <v/>
      </c>
      <c r="L6" s="26">
        <f>K6*(1-КП!$B$27)+L5</f>
        <v/>
      </c>
      <c r="M6" s="26">
        <f>L6*(1-КП!$B$27)+M5</f>
        <v/>
      </c>
      <c r="N6" s="26">
        <f>M6*(1-КП!$B$27)+N5</f>
        <v/>
      </c>
      <c r="O6" s="26">
        <f>N6*(1-КП!$B$27)+O5</f>
        <v/>
      </c>
      <c r="P6" s="26">
        <f>O6*(1-КП!$B$27)+P5</f>
        <v/>
      </c>
      <c r="Q6" s="26">
        <f>P6*(1-КП!$B$27)+Q5</f>
        <v/>
      </c>
      <c r="R6" s="26">
        <f>Q6*(1-КП!$B$27)+R5</f>
        <v/>
      </c>
      <c r="S6" s="26">
        <f>R6*(1-КП!$B$27)+S5</f>
        <v/>
      </c>
      <c r="T6" s="26">
        <f>S6*(1-КП!$B$27)+T5</f>
        <v/>
      </c>
      <c r="U6" s="26">
        <f>T6*(1-КП!$B$27)+U5</f>
        <v/>
      </c>
      <c r="V6" s="26">
        <f>U6*(1-КП!$B$27)+V5</f>
        <v/>
      </c>
      <c r="W6" s="26">
        <f>V6*(1-КП!$B$27)+W5</f>
        <v/>
      </c>
      <c r="X6" s="26">
        <f>W6*(1-КП!$B$27)+X5</f>
        <v/>
      </c>
      <c r="Y6" s="26">
        <f>X6*(1-КП!$B$27)+Y5</f>
        <v/>
      </c>
    </row>
    <row r="7">
      <c r="A7" s="5" t="inlineStr">
        <is>
          <t>Заказы: база</t>
        </is>
      </c>
      <c r="B7" s="26">
        <f>0</f>
        <v/>
      </c>
      <c r="C7" s="26">
        <f>B6*КП!$B$10/12*КП!$B$26</f>
        <v/>
      </c>
      <c r="D7" s="26">
        <f>C6*КП!$B$10/12*КП!$B$26</f>
        <v/>
      </c>
      <c r="E7" s="26">
        <f>D6*КП!$B$10/12*КП!$B$26</f>
        <v/>
      </c>
      <c r="F7" s="26">
        <f>E6*КП!$B$10/12*КП!$B$26</f>
        <v/>
      </c>
      <c r="G7" s="26">
        <f>F6*КП!$B$10/12*КП!$B$26</f>
        <v/>
      </c>
      <c r="H7" s="26">
        <f>G6*КП!$B$10/12*КП!$B$26</f>
        <v/>
      </c>
      <c r="I7" s="26">
        <f>H6*КП!$B$10/12*КП!$B$26</f>
        <v/>
      </c>
      <c r="J7" s="26">
        <f>I6*КП!$B$10/12*КП!$B$26</f>
        <v/>
      </c>
      <c r="K7" s="26">
        <f>J6*КП!$B$10/12*КП!$B$26</f>
        <v/>
      </c>
      <c r="L7" s="26">
        <f>K6*КП!$B$10/12*КП!$B$26</f>
        <v/>
      </c>
      <c r="M7" s="26">
        <f>L6*КП!$B$10/12*КП!$B$26</f>
        <v/>
      </c>
      <c r="N7" s="26">
        <f>M6*КП!$B$10/12*КП!$B$26</f>
        <v/>
      </c>
      <c r="O7" s="26">
        <f>N6*КП!$B$10/12*КП!$B$26</f>
        <v/>
      </c>
      <c r="P7" s="26">
        <f>O6*КП!$B$10/12*КП!$B$26</f>
        <v/>
      </c>
      <c r="Q7" s="26">
        <f>P6*КП!$B$10/12*КП!$B$26</f>
        <v/>
      </c>
      <c r="R7" s="26">
        <f>Q6*КП!$B$10/12*КП!$B$26</f>
        <v/>
      </c>
      <c r="S7" s="26">
        <f>R6*КП!$B$10/12*КП!$B$26</f>
        <v/>
      </c>
      <c r="T7" s="26">
        <f>S6*КП!$B$10/12*КП!$B$26</f>
        <v/>
      </c>
      <c r="U7" s="26">
        <f>T6*КП!$B$10/12*КП!$B$26</f>
        <v/>
      </c>
      <c r="V7" s="26">
        <f>U6*КП!$B$10/12*КП!$B$26</f>
        <v/>
      </c>
      <c r="W7" s="26">
        <f>V6*КП!$B$10/12*КП!$B$26</f>
        <v/>
      </c>
      <c r="X7" s="26">
        <f>W6*КП!$B$10/12*КП!$B$26</f>
        <v/>
      </c>
      <c r="Y7" s="26">
        <f>X6*КП!$B$10/12*КП!$B$26</f>
        <v/>
      </c>
    </row>
    <row r="8">
      <c r="A8" s="5" t="inlineStr">
        <is>
          <t>Заказы: поиск бренда</t>
        </is>
      </c>
      <c r="B8" s="26">
        <f>КП!$B$8*КП!$B$28*КП!$B$29*B4</f>
        <v/>
      </c>
      <c r="C8" s="26">
        <f>КП!$B$8*КП!$B$28*КП!$B$29*C4</f>
        <v/>
      </c>
      <c r="D8" s="26">
        <f>КП!$B$8*КП!$B$28*КП!$B$29*D4</f>
        <v/>
      </c>
      <c r="E8" s="26">
        <f>КП!$B$8*КП!$B$28*КП!$B$29*E4</f>
        <v/>
      </c>
      <c r="F8" s="26">
        <f>КП!$B$8*КП!$B$28*КП!$B$29*F4</f>
        <v/>
      </c>
      <c r="G8" s="26">
        <f>КП!$B$8*КП!$B$28*КП!$B$29*G4</f>
        <v/>
      </c>
      <c r="H8" s="26">
        <f>КП!$B$8*КП!$B$28*КП!$B$29*H4</f>
        <v/>
      </c>
      <c r="I8" s="26">
        <f>КП!$B$8*КП!$B$28*КП!$B$29*I4</f>
        <v/>
      </c>
      <c r="J8" s="26">
        <f>КП!$B$8*КП!$B$28*КП!$B$29*J4</f>
        <v/>
      </c>
      <c r="K8" s="26">
        <f>КП!$B$8*КП!$B$28*КП!$B$29*K4</f>
        <v/>
      </c>
      <c r="L8" s="26">
        <f>КП!$B$8*КП!$B$28*КП!$B$29*L4</f>
        <v/>
      </c>
      <c r="M8" s="26">
        <f>КП!$B$8*КП!$B$28*КП!$B$29*M4</f>
        <v/>
      </c>
      <c r="N8" s="26">
        <f>КП!$B$8*КП!$B$28*КП!$B$29*N4</f>
        <v/>
      </c>
      <c r="O8" s="26">
        <f>КП!$B$8*КП!$B$28*КП!$B$29*O4</f>
        <v/>
      </c>
      <c r="P8" s="26">
        <f>КП!$B$8*КП!$B$28*КП!$B$29*P4</f>
        <v/>
      </c>
      <c r="Q8" s="26">
        <f>КП!$B$8*КП!$B$28*КП!$B$29*Q4</f>
        <v/>
      </c>
      <c r="R8" s="26">
        <f>КП!$B$8*КП!$B$28*КП!$B$29*R4</f>
        <v/>
      </c>
      <c r="S8" s="26">
        <f>КП!$B$8*КП!$B$28*КП!$B$29*S4</f>
        <v/>
      </c>
      <c r="T8" s="26">
        <f>КП!$B$8*КП!$B$28*КП!$B$29*T4</f>
        <v/>
      </c>
      <c r="U8" s="26">
        <f>КП!$B$8*КП!$B$28*КП!$B$29*U4</f>
        <v/>
      </c>
      <c r="V8" s="26">
        <f>КП!$B$8*КП!$B$28*КП!$B$29*V4</f>
        <v/>
      </c>
      <c r="W8" s="26">
        <f>КП!$B$8*КП!$B$28*КП!$B$29*W4</f>
        <v/>
      </c>
      <c r="X8" s="26">
        <f>КП!$B$8*КП!$B$28*КП!$B$29*X4</f>
        <v/>
      </c>
      <c r="Y8" s="26">
        <f>КП!$B$8*КП!$B$28*КП!$B$29*Y4</f>
        <v/>
      </c>
    </row>
    <row r="9">
      <c r="A9" s="5" t="inlineStr">
        <is>
          <t>Заказы: соцсети</t>
        </is>
      </c>
      <c r="B9" s="26">
        <f>КП!$B$9*КП!$B$30*B4</f>
        <v/>
      </c>
      <c r="C9" s="26">
        <f>КП!$B$9*КП!$B$30*C4</f>
        <v/>
      </c>
      <c r="D9" s="26">
        <f>КП!$B$9*КП!$B$30*D4</f>
        <v/>
      </c>
      <c r="E9" s="26">
        <f>КП!$B$9*КП!$B$30*E4</f>
        <v/>
      </c>
      <c r="F9" s="26">
        <f>КП!$B$9*КП!$B$30*F4</f>
        <v/>
      </c>
      <c r="G9" s="26">
        <f>КП!$B$9*КП!$B$30*G4</f>
        <v/>
      </c>
      <c r="H9" s="26">
        <f>КП!$B$9*КП!$B$30*H4</f>
        <v/>
      </c>
      <c r="I9" s="26">
        <f>КП!$B$9*КП!$B$30*I4</f>
        <v/>
      </c>
      <c r="J9" s="26">
        <f>КП!$B$9*КП!$B$30*J4</f>
        <v/>
      </c>
      <c r="K9" s="26">
        <f>КП!$B$9*КП!$B$30*K4</f>
        <v/>
      </c>
      <c r="L9" s="26">
        <f>КП!$B$9*КП!$B$30*L4</f>
        <v/>
      </c>
      <c r="M9" s="26">
        <f>КП!$B$9*КП!$B$30*M4</f>
        <v/>
      </c>
      <c r="N9" s="26">
        <f>КП!$B$9*КП!$B$30*N4</f>
        <v/>
      </c>
      <c r="O9" s="26">
        <f>КП!$B$9*КП!$B$30*O4</f>
        <v/>
      </c>
      <c r="P9" s="26">
        <f>КП!$B$9*КП!$B$30*P4</f>
        <v/>
      </c>
      <c r="Q9" s="26">
        <f>КП!$B$9*КП!$B$30*Q4</f>
        <v/>
      </c>
      <c r="R9" s="26">
        <f>КП!$B$9*КП!$B$30*R4</f>
        <v/>
      </c>
      <c r="S9" s="26">
        <f>КП!$B$9*КП!$B$30*S4</f>
        <v/>
      </c>
      <c r="T9" s="26">
        <f>КП!$B$9*КП!$B$30*T4</f>
        <v/>
      </c>
      <c r="U9" s="26">
        <f>КП!$B$9*КП!$B$30*U4</f>
        <v/>
      </c>
      <c r="V9" s="26">
        <f>КП!$B$9*КП!$B$30*V4</f>
        <v/>
      </c>
      <c r="W9" s="26">
        <f>КП!$B$9*КП!$B$30*W4</f>
        <v/>
      </c>
      <c r="X9" s="26">
        <f>КП!$B$9*КП!$B$30*X4</f>
        <v/>
      </c>
      <c r="Y9" s="26">
        <f>КП!$B$9*КП!$B$30*Y4</f>
        <v/>
      </c>
    </row>
    <row r="10">
      <c r="A10" s="5" t="inlineStr">
        <is>
          <t>Заказы всего</t>
        </is>
      </c>
      <c r="B10" s="26">
        <f>B7+B8+B9</f>
        <v/>
      </c>
      <c r="C10" s="26">
        <f>C7+C8+C9</f>
        <v/>
      </c>
      <c r="D10" s="26">
        <f>D7+D8+D9</f>
        <v/>
      </c>
      <c r="E10" s="26">
        <f>E7+E8+E9</f>
        <v/>
      </c>
      <c r="F10" s="26">
        <f>F7+F8+F9</f>
        <v/>
      </c>
      <c r="G10" s="26">
        <f>G7+G8+G9</f>
        <v/>
      </c>
      <c r="H10" s="26">
        <f>H7+H8+H9</f>
        <v/>
      </c>
      <c r="I10" s="26">
        <f>I7+I8+I9</f>
        <v/>
      </c>
      <c r="J10" s="26">
        <f>J7+J8+J9</f>
        <v/>
      </c>
      <c r="K10" s="26">
        <f>K7+K8+K9</f>
        <v/>
      </c>
      <c r="L10" s="26">
        <f>L7+L8+L9</f>
        <v/>
      </c>
      <c r="M10" s="26">
        <f>M7+M8+M9</f>
        <v/>
      </c>
      <c r="N10" s="26">
        <f>N7+N8+N9</f>
        <v/>
      </c>
      <c r="O10" s="26">
        <f>O7+O8+O9</f>
        <v/>
      </c>
      <c r="P10" s="26">
        <f>P7+P8+P9</f>
        <v/>
      </c>
      <c r="Q10" s="26">
        <f>Q7+Q8+Q9</f>
        <v/>
      </c>
      <c r="R10" s="26">
        <f>R7+R8+R9</f>
        <v/>
      </c>
      <c r="S10" s="26">
        <f>S7+S8+S9</f>
        <v/>
      </c>
      <c r="T10" s="26">
        <f>T7+T8+T9</f>
        <v/>
      </c>
      <c r="U10" s="26">
        <f>U7+U8+U9</f>
        <v/>
      </c>
      <c r="V10" s="26">
        <f>V7+V8+V9</f>
        <v/>
      </c>
      <c r="W10" s="26">
        <f>W7+W8+W9</f>
        <v/>
      </c>
      <c r="X10" s="26">
        <f>X7+X8+X9</f>
        <v/>
      </c>
      <c r="Y10" s="26">
        <f>Y7+Y8+Y9</f>
        <v/>
      </c>
    </row>
    <row r="11">
      <c r="A11" s="16" t="inlineStr">
        <is>
          <t>Выручка магазина, ₽</t>
        </is>
      </c>
      <c r="B11" s="27">
        <f>B10*КП!$B$7*КП!$B$31</f>
        <v/>
      </c>
      <c r="C11" s="27">
        <f>C10*КП!$B$7*КП!$B$31</f>
        <v/>
      </c>
      <c r="D11" s="27">
        <f>D10*КП!$B$7*КП!$B$31</f>
        <v/>
      </c>
      <c r="E11" s="27">
        <f>E10*КП!$B$7*КП!$B$31</f>
        <v/>
      </c>
      <c r="F11" s="27">
        <f>F10*КП!$B$7*КП!$B$31</f>
        <v/>
      </c>
      <c r="G11" s="27">
        <f>G10*КП!$B$7*КП!$B$31</f>
        <v/>
      </c>
      <c r="H11" s="27">
        <f>H10*КП!$B$7*КП!$B$31</f>
        <v/>
      </c>
      <c r="I11" s="27">
        <f>I10*КП!$B$7*КП!$B$31</f>
        <v/>
      </c>
      <c r="J11" s="27">
        <f>J10*КП!$B$7*КП!$B$31</f>
        <v/>
      </c>
      <c r="K11" s="27">
        <f>K10*КП!$B$7*КП!$B$31</f>
        <v/>
      </c>
      <c r="L11" s="27">
        <f>L10*КП!$B$7*КП!$B$31</f>
        <v/>
      </c>
      <c r="M11" s="27">
        <f>M10*КП!$B$7*КП!$B$31</f>
        <v/>
      </c>
      <c r="N11" s="27">
        <f>N10*КП!$B$7*КП!$B$31</f>
        <v/>
      </c>
      <c r="O11" s="27">
        <f>O10*КП!$B$7*КП!$B$31</f>
        <v/>
      </c>
      <c r="P11" s="27">
        <f>P10*КП!$B$7*КП!$B$31</f>
        <v/>
      </c>
      <c r="Q11" s="27">
        <f>Q10*КП!$B$7*КП!$B$31</f>
        <v/>
      </c>
      <c r="R11" s="27">
        <f>R10*КП!$B$7*КП!$B$31</f>
        <v/>
      </c>
      <c r="S11" s="27">
        <f>S10*КП!$B$7*КП!$B$31</f>
        <v/>
      </c>
      <c r="T11" s="27">
        <f>T10*КП!$B$7*КП!$B$31</f>
        <v/>
      </c>
      <c r="U11" s="27">
        <f>U10*КП!$B$7*КП!$B$31</f>
        <v/>
      </c>
      <c r="V11" s="27">
        <f>V10*КП!$B$7*КП!$B$31</f>
        <v/>
      </c>
      <c r="W11" s="27">
        <f>W10*КП!$B$7*КП!$B$31</f>
        <v/>
      </c>
      <c r="X11" s="27">
        <f>X10*КП!$B$7*КП!$B$31</f>
        <v/>
      </c>
      <c r="Y11" s="27">
        <f>Y10*КП!$B$7*КП!$B$31</f>
        <v/>
      </c>
    </row>
    <row r="12">
      <c r="A12" s="5" t="inlineStr">
        <is>
          <t>Нарастающим итогом, ₽</t>
        </is>
      </c>
      <c r="B12" s="28">
        <f>B11</f>
        <v/>
      </c>
      <c r="C12" s="28">
        <f>B12+C11</f>
        <v/>
      </c>
      <c r="D12" s="28">
        <f>C12+D11</f>
        <v/>
      </c>
      <c r="E12" s="28">
        <f>D12+E11</f>
        <v/>
      </c>
      <c r="F12" s="28">
        <f>E12+F11</f>
        <v/>
      </c>
      <c r="G12" s="28">
        <f>F12+G11</f>
        <v/>
      </c>
      <c r="H12" s="28">
        <f>G12+H11</f>
        <v/>
      </c>
      <c r="I12" s="28">
        <f>H12+I11</f>
        <v/>
      </c>
      <c r="J12" s="28">
        <f>I12+J11</f>
        <v/>
      </c>
      <c r="K12" s="28">
        <f>J12+K11</f>
        <v/>
      </c>
      <c r="L12" s="28">
        <f>K12+L11</f>
        <v/>
      </c>
      <c r="M12" s="28">
        <f>L12+M11</f>
        <v/>
      </c>
      <c r="N12" s="28">
        <f>M12+N11</f>
        <v/>
      </c>
      <c r="O12" s="28">
        <f>N12+O11</f>
        <v/>
      </c>
      <c r="P12" s="28">
        <f>O12+P11</f>
        <v/>
      </c>
      <c r="Q12" s="28">
        <f>P12+Q11</f>
        <v/>
      </c>
      <c r="R12" s="28">
        <f>Q12+R11</f>
        <v/>
      </c>
      <c r="S12" s="28">
        <f>R12+S11</f>
        <v/>
      </c>
      <c r="T12" s="28">
        <f>S12+T11</f>
        <v/>
      </c>
      <c r="U12" s="28">
        <f>T12+U11</f>
        <v/>
      </c>
      <c r="V12" s="28">
        <f>U12+V11</f>
        <v/>
      </c>
      <c r="W12" s="28">
        <f>V12+W11</f>
        <v/>
      </c>
      <c r="X12" s="28">
        <f>W12+X11</f>
        <v/>
      </c>
      <c r="Y12" s="28">
        <f>X12+Y11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2026-10-14T07:44:25Z</dcterms:created>
  <dcterms:modified xmlns:dcterms="http://purl.org/dc/terms/" xmlns:xsi="http://www.w3.org/2001/XMLSchema-instance" xsi:type="dcterms:W3CDTF">2026-10-14T07:44:25Z</dcterms:modified>
</cp:coreProperties>
</file>